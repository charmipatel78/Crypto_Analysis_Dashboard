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
    </mc:Choice>
  </mc:AlternateContent>
  <xr:revisionPtr revIDLastSave="0" documentId="8_{45463B1B-876F-43A7-9156-BE8726977701}"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ed_data" sheetId="3" r:id="rId2"/>
    <sheet name="Pivot_Charts" sheetId="4" r:id="rId3"/>
    <sheet name="Dashboard" sheetId="5" r:id="rId4"/>
  </sheets>
  <definedNames>
    <definedName name="ExternalData_1" localSheetId="1" hidden="1">'Cleaned_data'!$A$1:$J$277</definedName>
    <definedName name="Slicer_Price_Rang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 i="4" l="1"/>
  <c r="W11" i="4"/>
  <c r="O4" i="4"/>
  <c r="O5" i="4"/>
  <c r="O6" i="4"/>
  <c r="O7" i="4"/>
  <c r="O3" i="4"/>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P5" i="4"/>
  <c r="Q1" i="4"/>
  <c r="P3" i="4"/>
  <c r="P4" i="4"/>
  <c r="P7" i="4"/>
  <c r="P6" i="4"/>
  <c r="P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D0FD31-F253-4606-A279-A6D361C341E1}" keepAlive="1" name="Query - Cleaned_data" description="Connection to the 'Cleaned_data' query in the workbook." type="5" refreshedVersion="8" background="1" saveData="1">
    <dbPr connection="Provider=Microsoft.Mashup.OleDb.1;Data Source=$Workbook$;Location=Cleaned_data;Extended Properties=&quot;&quot;" command="SELECT * FROM [Cleaned_data]"/>
  </connection>
</connections>
</file>

<file path=xl/sharedStrings.xml><?xml version="1.0" encoding="utf-8"?>
<sst xmlns="http://schemas.openxmlformats.org/spreadsheetml/2006/main" count="3876" uniqueCount="2238">
  <si>
    <t>Coin Name</t>
  </si>
  <si>
    <t>Symbol</t>
  </si>
  <si>
    <t>Price (USD)</t>
  </si>
  <si>
    <t>1h Change (%)</t>
  </si>
  <si>
    <t>Market Cap</t>
  </si>
  <si>
    <t>Volume (24h) USD</t>
  </si>
  <si>
    <t>Circulating Supply</t>
  </si>
  <si>
    <t>CoinMarketCap 20 Index DTF</t>
  </si>
  <si>
    <t>CMC20</t>
  </si>
  <si>
    <t>$130.51</t>
  </si>
  <si>
    <t>0.03%</t>
  </si>
  <si>
    <t>$6.16M</t>
  </si>
  <si>
    <t>$1.52M</t>
  </si>
  <si>
    <t>47.24K</t>
  </si>
  <si>
    <t>Bitcoin</t>
  </si>
  <si>
    <t>BTC</t>
  </si>
  <si>
    <t>$64,381.26</t>
  </si>
  <si>
    <t>0.17%</t>
  </si>
  <si>
    <t>$1.29T</t>
  </si>
  <si>
    <t>$26.76B</t>
  </si>
  <si>
    <t>20.06M</t>
  </si>
  <si>
    <t>Ethereum</t>
  </si>
  <si>
    <t>ETH</t>
  </si>
  <si>
    <t>$1,908.06</t>
  </si>
  <si>
    <t>0.25%</t>
  </si>
  <si>
    <t>$229.89B</t>
  </si>
  <si>
    <t>$8.1B</t>
  </si>
  <si>
    <t>120.68M</t>
  </si>
  <si>
    <t>Tether</t>
  </si>
  <si>
    <t>USDT</t>
  </si>
  <si>
    <t>$0.9991</t>
  </si>
  <si>
    <t>0.01%</t>
  </si>
  <si>
    <t>$183.62B</t>
  </si>
  <si>
    <t>$51.6B</t>
  </si>
  <si>
    <t>183.81B</t>
  </si>
  <si>
    <t>BNB</t>
  </si>
  <si>
    <t>$591.19</t>
  </si>
  <si>
    <t>0.23%</t>
  </si>
  <si>
    <t>$78.7B</t>
  </si>
  <si>
    <t>$1.37B</t>
  </si>
  <si>
    <t>133.16M</t>
  </si>
  <si>
    <t>USDC</t>
  </si>
  <si>
    <t>$0.9997</t>
  </si>
  <si>
    <t>0.00%</t>
  </si>
  <si>
    <t>$71.88B</t>
  </si>
  <si>
    <t>$8.65B</t>
  </si>
  <si>
    <t>71.89B</t>
  </si>
  <si>
    <t>XRP</t>
  </si>
  <si>
    <t>$1.08</t>
  </si>
  <si>
    <t>0.14%</t>
  </si>
  <si>
    <t>$67.61B</t>
  </si>
  <si>
    <t>$1.02B</t>
  </si>
  <si>
    <t>62.53B</t>
  </si>
  <si>
    <t>Solana</t>
  </si>
  <si>
    <t>SOL</t>
  </si>
  <si>
    <t>$74.28</t>
  </si>
  <si>
    <t>$43.05B</t>
  </si>
  <si>
    <t>$1.57B</t>
  </si>
  <si>
    <t>579.58M</t>
  </si>
  <si>
    <t>TRON</t>
  </si>
  <si>
    <t>TRX</t>
  </si>
  <si>
    <t>$0.3285</t>
  </si>
  <si>
    <t>$31.17B</t>
  </si>
  <si>
    <t>$439.71M</t>
  </si>
  <si>
    <t>94.88B</t>
  </si>
  <si>
    <t>Hyperliquid</t>
  </si>
  <si>
    <t>HYPE</t>
  </si>
  <si>
    <t>$55.55</t>
  </si>
  <si>
    <t>0.22%</t>
  </si>
  <si>
    <t>$14.02B</t>
  </si>
  <si>
    <t>$375.47M</t>
  </si>
  <si>
    <t>252.51M</t>
  </si>
  <si>
    <t>Dogecoin</t>
  </si>
  <si>
    <t>DOGE</t>
  </si>
  <si>
    <t>$0.07010</t>
  </si>
  <si>
    <t>0.07%</t>
  </si>
  <si>
    <t>$10.88B</t>
  </si>
  <si>
    <t>$498.53M</t>
  </si>
  <si>
    <t>155.29B</t>
  </si>
  <si>
    <t>UNUS SED LEO</t>
  </si>
  <si>
    <t>LEO</t>
  </si>
  <si>
    <t>$9.77</t>
  </si>
  <si>
    <t>$8.99B</t>
  </si>
  <si>
    <t>$173.46K</t>
  </si>
  <si>
    <t>920.07M</t>
  </si>
  <si>
    <t>Zcash</t>
  </si>
  <si>
    <t>ZEC</t>
  </si>
  <si>
    <t>$461.81</t>
  </si>
  <si>
    <t>0.29%</t>
  </si>
  <si>
    <t>$7.75B</t>
  </si>
  <si>
    <t>$292.67M</t>
  </si>
  <si>
    <t>16.79M</t>
  </si>
  <si>
    <t>Monero</t>
  </si>
  <si>
    <t>XMR</t>
  </si>
  <si>
    <t>$353.61</t>
  </si>
  <si>
    <t>0.57%</t>
  </si>
  <si>
    <t>$6.64B</t>
  </si>
  <si>
    <t>$103.23M</t>
  </si>
  <si>
    <t>18.78M</t>
  </si>
  <si>
    <t>Chainlink</t>
  </si>
  <si>
    <t>LINK</t>
  </si>
  <si>
    <t>$8.36</t>
  </si>
  <si>
    <t>0.11%</t>
  </si>
  <si>
    <t>$6.25B</t>
  </si>
  <si>
    <t>$208.38M</t>
  </si>
  <si>
    <t>748.09M</t>
  </si>
  <si>
    <t>KAITO</t>
  </si>
  <si>
    <t>$1.14</t>
  </si>
  <si>
    <t>1.41%</t>
  </si>
  <si>
    <t>$276.99M</t>
  </si>
  <si>
    <t>$116.25M</t>
  </si>
  <si>
    <t>241.38M</t>
  </si>
  <si>
    <t>LayerZero</t>
  </si>
  <si>
    <t>ZRO</t>
  </si>
  <si>
    <t>$0.7344</t>
  </si>
  <si>
    <t>0.54%</t>
  </si>
  <si>
    <t>$266.79M</t>
  </si>
  <si>
    <t>$21.96M</t>
  </si>
  <si>
    <t>363.28M</t>
  </si>
  <si>
    <t>AINFT</t>
  </si>
  <si>
    <t>NFT</t>
  </si>
  <si>
    <t>$0.062666</t>
  </si>
  <si>
    <t>0.48%</t>
  </si>
  <si>
    <t>$263.98M</t>
  </si>
  <si>
    <t>$5.86M</t>
  </si>
  <si>
    <t>990.1T</t>
  </si>
  <si>
    <t>BitTorrent [New]</t>
  </si>
  <si>
    <t>BTT</t>
  </si>
  <si>
    <t>$0.062618</t>
  </si>
  <si>
    <t>0.12%</t>
  </si>
  <si>
    <t>$258.46M</t>
  </si>
  <si>
    <t>$4.23M</t>
  </si>
  <si>
    <t>987.03T</t>
  </si>
  <si>
    <t>Jito</t>
  </si>
  <si>
    <t>JTO</t>
  </si>
  <si>
    <t>$0.5111</t>
  </si>
  <si>
    <t>1.13%</t>
  </si>
  <si>
    <t>$257.9M</t>
  </si>
  <si>
    <t>$27.69M</t>
  </si>
  <si>
    <t>504.56M</t>
  </si>
  <si>
    <t>Stacks</t>
  </si>
  <si>
    <t>STX</t>
  </si>
  <si>
    <t>$0.1384</t>
  </si>
  <si>
    <t>$251.19M</t>
  </si>
  <si>
    <t>$5.3M</t>
  </si>
  <si>
    <t>1.81B</t>
  </si>
  <si>
    <t>Bitcoin SV</t>
  </si>
  <si>
    <t>BSV</t>
  </si>
  <si>
    <t>$12.49</t>
  </si>
  <si>
    <t>$250.73M</t>
  </si>
  <si>
    <t>$7.6M</t>
  </si>
  <si>
    <t>Monad</t>
  </si>
  <si>
    <t>MON</t>
  </si>
  <si>
    <t>$0.02117</t>
  </si>
  <si>
    <t>0.86%</t>
  </si>
  <si>
    <t>$250.43M</t>
  </si>
  <si>
    <t>$14.97M</t>
  </si>
  <si>
    <t>11.82B</t>
  </si>
  <si>
    <t>Bonk</t>
  </si>
  <si>
    <t>BONK</t>
  </si>
  <si>
    <t>$0.052843</t>
  </si>
  <si>
    <t>0.52%</t>
  </si>
  <si>
    <t>$250.23M</t>
  </si>
  <si>
    <t>$30.42M</t>
  </si>
  <si>
    <t>87.99T</t>
  </si>
  <si>
    <t>Pendle</t>
  </si>
  <si>
    <t>PENDLE</t>
  </si>
  <si>
    <t>$1.42</t>
  </si>
  <si>
    <t>0.15%</t>
  </si>
  <si>
    <t>$244.25M</t>
  </si>
  <si>
    <t>$24.69M</t>
  </si>
  <si>
    <t>171.75M</t>
  </si>
  <si>
    <t>Conflux</t>
  </si>
  <si>
    <t>CFX</t>
  </si>
  <si>
    <t>$0.04582</t>
  </si>
  <si>
    <t>0.16%</t>
  </si>
  <si>
    <t>$239.58M</t>
  </si>
  <si>
    <t>$33.71M</t>
  </si>
  <si>
    <t>5.22B</t>
  </si>
  <si>
    <t>Decred</t>
  </si>
  <si>
    <t>DCR</t>
  </si>
  <si>
    <t>$13.65</t>
  </si>
  <si>
    <t>1.40%</t>
  </si>
  <si>
    <t>$239.47M</t>
  </si>
  <si>
    <t>$4.53M</t>
  </si>
  <si>
    <t>17.53M</t>
  </si>
  <si>
    <t>Tezos</t>
  </si>
  <si>
    <t>XTZ</t>
  </si>
  <si>
    <t>$0.2040</t>
  </si>
  <si>
    <t>$222.83M</t>
  </si>
  <si>
    <t>$4.44M</t>
  </si>
  <si>
    <t>1.09B</t>
  </si>
  <si>
    <t>Immutable</t>
  </si>
  <si>
    <t>IMX</t>
  </si>
  <si>
    <t>$0.1076</t>
  </si>
  <si>
    <t>0.42%</t>
  </si>
  <si>
    <t>$215.37M</t>
  </si>
  <si>
    <t>$8.59M</t>
  </si>
  <si>
    <t>2B</t>
  </si>
  <si>
    <t>JasmyCoin</t>
  </si>
  <si>
    <t>JASMY</t>
  </si>
  <si>
    <t>$0.004349</t>
  </si>
  <si>
    <t>$215.04M</t>
  </si>
  <si>
    <t>$6.61M</t>
  </si>
  <si>
    <t>49.44B</t>
  </si>
  <si>
    <t>Rain</t>
  </si>
  <si>
    <t>RAIN</t>
  </si>
  <si>
    <t>$0.01313</t>
  </si>
  <si>
    <t>0.04%</t>
  </si>
  <si>
    <t>$9.12B</t>
  </si>
  <si>
    <t>$29.51M</t>
  </si>
  <si>
    <t>694.57B</t>
  </si>
  <si>
    <t>Decimal</t>
  </si>
  <si>
    <t>DEL</t>
  </si>
  <si>
    <t>$0.7459</t>
  </si>
  <si>
    <t>$8.29B</t>
  </si>
  <si>
    <t>$242.05K</t>
  </si>
  <si>
    <t>11.12B</t>
  </si>
  <si>
    <t>Ondo US Dollar Yield</t>
  </si>
  <si>
    <t>USDY</t>
  </si>
  <si>
    <t>$2.15B</t>
  </si>
  <si>
    <t>$467.84K</t>
  </si>
  <si>
    <t>1.88B</t>
  </si>
  <si>
    <t>HTX</t>
  </si>
  <si>
    <t>$0.051802</t>
  </si>
  <si>
    <t>0.02%</t>
  </si>
  <si>
    <t>$1.61B</t>
  </si>
  <si>
    <t>$46.15M</t>
  </si>
  <si>
    <t>898.23T</t>
  </si>
  <si>
    <t>Falcon USD</t>
  </si>
  <si>
    <t>USDf</t>
  </si>
  <si>
    <t>$0.9953</t>
  </si>
  <si>
    <t>$1.25B</t>
  </si>
  <si>
    <t>$542.98K</t>
  </si>
  <si>
    <t>1.26B</t>
  </si>
  <si>
    <t>USDGO</t>
  </si>
  <si>
    <t>$0.9999</t>
  </si>
  <si>
    <t>$1.1B</t>
  </si>
  <si>
    <t>$17.1M</t>
  </si>
  <si>
    <t>1.1B</t>
  </si>
  <si>
    <t>c8ntinuum</t>
  </si>
  <si>
    <t>CTM</t>
  </si>
  <si>
    <t>$0.1955</t>
  </si>
  <si>
    <t>$872.04M</t>
  </si>
  <si>
    <t>$14.76M</t>
  </si>
  <si>
    <t>4.45B</t>
  </si>
  <si>
    <t>Jupiter Perps LP</t>
  </si>
  <si>
    <t>JLP</t>
  </si>
  <si>
    <t>$3.60</t>
  </si>
  <si>
    <t>0.10%</t>
  </si>
  <si>
    <t>$808.54M</t>
  </si>
  <si>
    <t>$1.89M</t>
  </si>
  <si>
    <t>224.17M</t>
  </si>
  <si>
    <t>Beldex</t>
  </si>
  <si>
    <t>BDX</t>
  </si>
  <si>
    <t>$0.08271</t>
  </si>
  <si>
    <t>0.65%</t>
  </si>
  <si>
    <t>$650.92M</t>
  </si>
  <si>
    <t>$11.89M</t>
  </si>
  <si>
    <t>7.86B</t>
  </si>
  <si>
    <t>GHO</t>
  </si>
  <si>
    <t>$0.9983</t>
  </si>
  <si>
    <t>$647.93M</t>
  </si>
  <si>
    <t>$367.72K</t>
  </si>
  <si>
    <t>649M</t>
  </si>
  <si>
    <t>Usual USD</t>
  </si>
  <si>
    <t>USD0</t>
  </si>
  <si>
    <t>$0.9992</t>
  </si>
  <si>
    <t>$556.01M</t>
  </si>
  <si>
    <t>N/A</t>
  </si>
  <si>
    <t>556.41M</t>
  </si>
  <si>
    <t>Solstice USX</t>
  </si>
  <si>
    <t>USX</t>
  </si>
  <si>
    <t>$1.00</t>
  </si>
  <si>
    <t>$524.71M</t>
  </si>
  <si>
    <t>$41.45M</t>
  </si>
  <si>
    <t>523.18M</t>
  </si>
  <si>
    <t>USDai</t>
  </si>
  <si>
    <t>USDAI</t>
  </si>
  <si>
    <t>$0.9996</t>
  </si>
  <si>
    <t>$501.18M</t>
  </si>
  <si>
    <t>501.35M</t>
  </si>
  <si>
    <t>Unibase</t>
  </si>
  <si>
    <t>UB</t>
  </si>
  <si>
    <t>$0.1618</t>
  </si>
  <si>
    <t>1.23%</t>
  </si>
  <si>
    <t>$404.58M</t>
  </si>
  <si>
    <t>$14.5M</t>
  </si>
  <si>
    <t>2.5B</t>
  </si>
  <si>
    <t>Ducky</t>
  </si>
  <si>
    <t>DUCKY</t>
  </si>
  <si>
    <t>$0.0006420</t>
  </si>
  <si>
    <t>$266.07M</t>
  </si>
  <si>
    <t>$740.5</t>
  </si>
  <si>
    <t>414.4B</t>
  </si>
  <si>
    <t>Qubic</t>
  </si>
  <si>
    <t>QUBIC</t>
  </si>
  <si>
    <t>$0.064155</t>
  </si>
  <si>
    <t>$58.55M</t>
  </si>
  <si>
    <t>$915K</t>
  </si>
  <si>
    <t>140.91T</t>
  </si>
  <si>
    <t>XPIN Network</t>
  </si>
  <si>
    <t>XPIN</t>
  </si>
  <si>
    <t>$0.001460</t>
  </si>
  <si>
    <t>$58.47M</t>
  </si>
  <si>
    <t>$1.99M</t>
  </si>
  <si>
    <t>40.03B</t>
  </si>
  <si>
    <t>Ravencoin</t>
  </si>
  <si>
    <t>RVN</t>
  </si>
  <si>
    <t>$0.003563</t>
  </si>
  <si>
    <t>$58.37M</t>
  </si>
  <si>
    <t>$2.36M</t>
  </si>
  <si>
    <t>16.38B</t>
  </si>
  <si>
    <t>Cap</t>
  </si>
  <si>
    <t>CAP</t>
  </si>
  <si>
    <t>$0.03708</t>
  </si>
  <si>
    <t>5.85%</t>
  </si>
  <si>
    <t>$57.85M</t>
  </si>
  <si>
    <t>$38.84M</t>
  </si>
  <si>
    <t>1.56B</t>
  </si>
  <si>
    <t>ZIGChain</t>
  </si>
  <si>
    <t>ZIG</t>
  </si>
  <si>
    <t>$0.04049</t>
  </si>
  <si>
    <t>0.21%</t>
  </si>
  <si>
    <t>$57.06M</t>
  </si>
  <si>
    <t>$4.63M</t>
  </si>
  <si>
    <t>1.4B</t>
  </si>
  <si>
    <t>Billions Network</t>
  </si>
  <si>
    <t>BILL</t>
  </si>
  <si>
    <t>$0.02345</t>
  </si>
  <si>
    <t>0.81%</t>
  </si>
  <si>
    <t>$56.95M</t>
  </si>
  <si>
    <t>$10.61M</t>
  </si>
  <si>
    <t>2.42B</t>
  </si>
  <si>
    <t>Magma Finance</t>
  </si>
  <si>
    <t>MAGMA</t>
  </si>
  <si>
    <t>$0.2994</t>
  </si>
  <si>
    <t>$56.9M</t>
  </si>
  <si>
    <t>$1.1M</t>
  </si>
  <si>
    <t>190M</t>
  </si>
  <si>
    <t>Jelly-My-Jelly</t>
  </si>
  <si>
    <t>JELLYJELLY</t>
  </si>
  <si>
    <t>$0.05669</t>
  </si>
  <si>
    <t>0.67%</t>
  </si>
  <si>
    <t>$56.69M</t>
  </si>
  <si>
    <t>$3.41M</t>
  </si>
  <si>
    <t>999.99M</t>
  </si>
  <si>
    <t>Allora</t>
  </si>
  <si>
    <t>ALLO</t>
  </si>
  <si>
    <t>$0.2792</t>
  </si>
  <si>
    <t>1.11%</t>
  </si>
  <si>
    <t>$55.99M</t>
  </si>
  <si>
    <t>$34.68M</t>
  </si>
  <si>
    <t>200.5M</t>
  </si>
  <si>
    <t>Kusama</t>
  </si>
  <si>
    <t>KSM</t>
  </si>
  <si>
    <t>$2.98</t>
  </si>
  <si>
    <t>$55.42M</t>
  </si>
  <si>
    <t>$2.17M</t>
  </si>
  <si>
    <t>18.59M</t>
  </si>
  <si>
    <t>OpenLedger</t>
  </si>
  <si>
    <t>OPEN</t>
  </si>
  <si>
    <t>$0.1789</t>
  </si>
  <si>
    <t>$55.38M</t>
  </si>
  <si>
    <t>309.58M</t>
  </si>
  <si>
    <t>Nano</t>
  </si>
  <si>
    <t>XNO</t>
  </si>
  <si>
    <t>$0.4081</t>
  </si>
  <si>
    <t>1.78%</t>
  </si>
  <si>
    <t>$54.38M</t>
  </si>
  <si>
    <t>$256.25K</t>
  </si>
  <si>
    <t>133.24M</t>
  </si>
  <si>
    <t>Lorenzo Protocol</t>
  </si>
  <si>
    <t>BANK</t>
  </si>
  <si>
    <t>$0.07072</t>
  </si>
  <si>
    <t>3.87%</t>
  </si>
  <si>
    <t>$54.09M</t>
  </si>
  <si>
    <t>$371M</t>
  </si>
  <si>
    <t>764.94M</t>
  </si>
  <si>
    <t>Mina</t>
  </si>
  <si>
    <t>MINA</t>
  </si>
  <si>
    <t>$0.04204</t>
  </si>
  <si>
    <t>$54.12M</t>
  </si>
  <si>
    <t>$2.21M</t>
  </si>
  <si>
    <t>1.28B</t>
  </si>
  <si>
    <t>FUNToken</t>
  </si>
  <si>
    <t>FUN</t>
  </si>
  <si>
    <t>$0.004998</t>
  </si>
  <si>
    <t>$54M</t>
  </si>
  <si>
    <t>$1.94M</t>
  </si>
  <si>
    <t>10.8B</t>
  </si>
  <si>
    <t>NVIDIA Tokenized Stock (Ondo)</t>
  </si>
  <si>
    <t>NVDAon</t>
  </si>
  <si>
    <t>$198.65</t>
  </si>
  <si>
    <t>$39.04M</t>
  </si>
  <si>
    <t>$2.61M</t>
  </si>
  <si>
    <t>196.54K</t>
  </si>
  <si>
    <t>Mog Coin</t>
  </si>
  <si>
    <t>MOG</t>
  </si>
  <si>
    <t>$0.079989</t>
  </si>
  <si>
    <t>$39.01M</t>
  </si>
  <si>
    <t>$6.96M</t>
  </si>
  <si>
    <t>390.56T</t>
  </si>
  <si>
    <t>Eurite</t>
  </si>
  <si>
    <t>EURI</t>
  </si>
  <si>
    <t>$1.15</t>
  </si>
  <si>
    <t>$38.95M</t>
  </si>
  <si>
    <t>$4.71M</t>
  </si>
  <si>
    <t>33.85M</t>
  </si>
  <si>
    <t>Brett (Based)</t>
  </si>
  <si>
    <t>BRETT</t>
  </si>
  <si>
    <t>$0.003889</t>
  </si>
  <si>
    <t>0.78%</t>
  </si>
  <si>
    <t>$38.89M</t>
  </si>
  <si>
    <t>$4.65M</t>
  </si>
  <si>
    <t>9.99B</t>
  </si>
  <si>
    <t>Lombard</t>
  </si>
  <si>
    <t>BARD</t>
  </si>
  <si>
    <t>$0.1129</t>
  </si>
  <si>
    <t>0.36%</t>
  </si>
  <si>
    <t>$38.77M</t>
  </si>
  <si>
    <t>$4.41M</t>
  </si>
  <si>
    <t>343.12M</t>
  </si>
  <si>
    <t>Peanut the Squirrel</t>
  </si>
  <si>
    <t>PNUT</t>
  </si>
  <si>
    <t>$0.03862</t>
  </si>
  <si>
    <t>$38.62M</t>
  </si>
  <si>
    <t>$6.78M</t>
  </si>
  <si>
    <t>999.84M</t>
  </si>
  <si>
    <t>Gemini Dollar</t>
  </si>
  <si>
    <t>GUSD</t>
  </si>
  <si>
    <t>$0.9994</t>
  </si>
  <si>
    <t>$38.58M</t>
  </si>
  <si>
    <t>$737.22K</t>
  </si>
  <si>
    <t>38.6M</t>
  </si>
  <si>
    <t>Paycoin</t>
  </si>
  <si>
    <t>PCI</t>
  </si>
  <si>
    <t>$0.03585</t>
  </si>
  <si>
    <t>0.31%</t>
  </si>
  <si>
    <t>$38.29M</t>
  </si>
  <si>
    <t>$581.1K</t>
  </si>
  <si>
    <t>1.06B</t>
  </si>
  <si>
    <t>Purr</t>
  </si>
  <si>
    <t>PURR</t>
  </si>
  <si>
    <t>$0.06426</t>
  </si>
  <si>
    <t>$38.25M</t>
  </si>
  <si>
    <t>$438.76K</t>
  </si>
  <si>
    <t>595.34M</t>
  </si>
  <si>
    <t>Fractal Bitcoin</t>
  </si>
  <si>
    <t>FB</t>
  </si>
  <si>
    <t>$0.3529</t>
  </si>
  <si>
    <t>$37.92M</t>
  </si>
  <si>
    <t>$1.2M</t>
  </si>
  <si>
    <t>107.46M</t>
  </si>
  <si>
    <t>Irys</t>
  </si>
  <si>
    <t>IRYS</t>
  </si>
  <si>
    <t>$0.01475</t>
  </si>
  <si>
    <t>0.33%</t>
  </si>
  <si>
    <t>$37.87M</t>
  </si>
  <si>
    <t>$6.65M</t>
  </si>
  <si>
    <t>2.56B</t>
  </si>
  <si>
    <t>Celo</t>
  </si>
  <si>
    <t>CELO</t>
  </si>
  <si>
    <t>$0.06268</t>
  </si>
  <si>
    <t>$37.84M</t>
  </si>
  <si>
    <t>$2.38M</t>
  </si>
  <si>
    <t>603.76M</t>
  </si>
  <si>
    <t>BUSD</t>
  </si>
  <si>
    <t>$769.59K</t>
  </si>
  <si>
    <t>37.84M</t>
  </si>
  <si>
    <t>Tellor</t>
  </si>
  <si>
    <t>TRB</t>
  </si>
  <si>
    <t>$13.48</t>
  </si>
  <si>
    <t>$37.74M</t>
  </si>
  <si>
    <t>$6.52M</t>
  </si>
  <si>
    <t>2.79M</t>
  </si>
  <si>
    <t>Ontology</t>
  </si>
  <si>
    <t>ONT</t>
  </si>
  <si>
    <t>$0.03747</t>
  </si>
  <si>
    <t>0.38%</t>
  </si>
  <si>
    <t>$37.47M</t>
  </si>
  <si>
    <t>$2.79M</t>
  </si>
  <si>
    <t>1B</t>
  </si>
  <si>
    <t>Casper</t>
  </si>
  <si>
    <t>CSPR</t>
  </si>
  <si>
    <t>$0.001721</t>
  </si>
  <si>
    <t>0.87%</t>
  </si>
  <si>
    <t>$28.63M</t>
  </si>
  <si>
    <t>$2M</t>
  </si>
  <si>
    <t>16.63B</t>
  </si>
  <si>
    <t>USDK</t>
  </si>
  <si>
    <t>$0.9993</t>
  </si>
  <si>
    <t>$28.58M</t>
  </si>
  <si>
    <t>28.6M</t>
  </si>
  <si>
    <t>Impossible Cloud Network</t>
  </si>
  <si>
    <t>ICNT</t>
  </si>
  <si>
    <t>$0.1128</t>
  </si>
  <si>
    <t>2.19%</t>
  </si>
  <si>
    <t>$28.54M</t>
  </si>
  <si>
    <t>$2.23M</t>
  </si>
  <si>
    <t>253M</t>
  </si>
  <si>
    <t>Block Street</t>
  </si>
  <si>
    <t>BSB</t>
  </si>
  <si>
    <t>$0.1205</t>
  </si>
  <si>
    <t>0.47%</t>
  </si>
  <si>
    <t>$28.47M</t>
  </si>
  <si>
    <t>$643.2M</t>
  </si>
  <si>
    <t>236.3M</t>
  </si>
  <si>
    <t>Bancor</t>
  </si>
  <si>
    <t>BNT</t>
  </si>
  <si>
    <t>$0.2674</t>
  </si>
  <si>
    <t>0.20%</t>
  </si>
  <si>
    <t>$28.35M</t>
  </si>
  <si>
    <t>$2.9M</t>
  </si>
  <si>
    <t>106.04M</t>
  </si>
  <si>
    <t>Wiki Cat</t>
  </si>
  <si>
    <t>WKC</t>
  </si>
  <si>
    <t>$0.075277</t>
  </si>
  <si>
    <t>$28.31M</t>
  </si>
  <si>
    <t>$170.25K</t>
  </si>
  <si>
    <t>536.43T</t>
  </si>
  <si>
    <t>Siacoin</t>
  </si>
  <si>
    <t>SC</t>
  </si>
  <si>
    <t>$0.0005041</t>
  </si>
  <si>
    <t>1.22%</t>
  </si>
  <si>
    <t>$28.24M</t>
  </si>
  <si>
    <t>$2.3M</t>
  </si>
  <si>
    <t>56.02B</t>
  </si>
  <si>
    <t>Sahara AI</t>
  </si>
  <si>
    <t>SAHARA</t>
  </si>
  <si>
    <t>$0.007846</t>
  </si>
  <si>
    <t>1.32%</t>
  </si>
  <si>
    <t>$28.05M</t>
  </si>
  <si>
    <t>$8.4M</t>
  </si>
  <si>
    <t>3.57B</t>
  </si>
  <si>
    <t>Hims &amp; Hers Health Tokenized Stock (Ondo)</t>
  </si>
  <si>
    <t>HIMSon</t>
  </si>
  <si>
    <t>$27.21</t>
  </si>
  <si>
    <t>$28M</t>
  </si>
  <si>
    <t>1.02M</t>
  </si>
  <si>
    <t>Avantis</t>
  </si>
  <si>
    <t>AVNT</t>
  </si>
  <si>
    <t>$0.08398</t>
  </si>
  <si>
    <t>0.66%</t>
  </si>
  <si>
    <t>$27.98M</t>
  </si>
  <si>
    <t>$16.03M</t>
  </si>
  <si>
    <t>333.25M</t>
  </si>
  <si>
    <t>Manta Network</t>
  </si>
  <si>
    <t>MANTA</t>
  </si>
  <si>
    <t>$0.05821</t>
  </si>
  <si>
    <t>0.26%</t>
  </si>
  <si>
    <t>$27.8M</t>
  </si>
  <si>
    <t>$1.71M</t>
  </si>
  <si>
    <t>477.62M</t>
  </si>
  <si>
    <t>Collect on Fanable</t>
  </si>
  <si>
    <t>COLLECT</t>
  </si>
  <si>
    <t>$0.05176</t>
  </si>
  <si>
    <t>$27.79M</t>
  </si>
  <si>
    <t>$2.19M</t>
  </si>
  <si>
    <t>537M</t>
  </si>
  <si>
    <t>iShares MSCI South Korea ETF Tokenized bStocks</t>
  </si>
  <si>
    <t>EWYB</t>
  </si>
  <si>
    <t>$167.84</t>
  </si>
  <si>
    <t>1.07%</t>
  </si>
  <si>
    <t>$27.76M</t>
  </si>
  <si>
    <t>$42.75M</t>
  </si>
  <si>
    <t>165.42K</t>
  </si>
  <si>
    <t>deBridge</t>
  </si>
  <si>
    <t>DBR</t>
  </si>
  <si>
    <t>$0.01439</t>
  </si>
  <si>
    <t>$27.7M</t>
  </si>
  <si>
    <t>$1.33M</t>
  </si>
  <si>
    <t>1.92B</t>
  </si>
  <si>
    <t>Vana</t>
  </si>
  <si>
    <t>VANA</t>
  </si>
  <si>
    <t>$0.9176</t>
  </si>
  <si>
    <t>$27.6M</t>
  </si>
  <si>
    <t>$12.9M</t>
  </si>
  <si>
    <t>30.08M</t>
  </si>
  <si>
    <t>Osmosis</t>
  </si>
  <si>
    <t>OSMO</t>
  </si>
  <si>
    <t>$0.02675</t>
  </si>
  <si>
    <t>$20.94M</t>
  </si>
  <si>
    <t>$1.9M</t>
  </si>
  <si>
    <t>782.96M</t>
  </si>
  <si>
    <t>IOST</t>
  </si>
  <si>
    <t>$0.0006013</t>
  </si>
  <si>
    <t>$20.9M</t>
  </si>
  <si>
    <t>$3.91M</t>
  </si>
  <si>
    <t>34.76B</t>
  </si>
  <si>
    <t>SNC SCANDIC COIN</t>
  </si>
  <si>
    <t>SNC</t>
  </si>
  <si>
    <t>$0.1633</t>
  </si>
  <si>
    <t>$20.85M</t>
  </si>
  <si>
    <t>$171.39K</t>
  </si>
  <si>
    <t>127.6M</t>
  </si>
  <si>
    <t>IoTeX</t>
  </si>
  <si>
    <t>IOTX</t>
  </si>
  <si>
    <t>$0.002207</t>
  </si>
  <si>
    <t>$20.84M</t>
  </si>
  <si>
    <t>$1.59M</t>
  </si>
  <si>
    <t>9.44B</t>
  </si>
  <si>
    <t>World Mobile Token</t>
  </si>
  <si>
    <t>WMTX</t>
  </si>
  <si>
    <t>$0.02413</t>
  </si>
  <si>
    <t>0.08%</t>
  </si>
  <si>
    <t>$20.73M</t>
  </si>
  <si>
    <t>$768.36K</t>
  </si>
  <si>
    <t>859.11M</t>
  </si>
  <si>
    <t>Bounce Token</t>
  </si>
  <si>
    <t>AUCTION</t>
  </si>
  <si>
    <t>$2.99</t>
  </si>
  <si>
    <t>0.24%</t>
  </si>
  <si>
    <t>$20.72M</t>
  </si>
  <si>
    <t>$6.68M</t>
  </si>
  <si>
    <t>6.92M</t>
  </si>
  <si>
    <t>Somnia</t>
  </si>
  <si>
    <t>SOMI</t>
  </si>
  <si>
    <t>$0.08482</t>
  </si>
  <si>
    <t>0.72%</t>
  </si>
  <si>
    <t>$20.63M</t>
  </si>
  <si>
    <t>$2.49M</t>
  </si>
  <si>
    <t>243.23M</t>
  </si>
  <si>
    <t>Metal DAO</t>
  </si>
  <si>
    <t>MTL</t>
  </si>
  <si>
    <t>$0.2221</t>
  </si>
  <si>
    <t>0.05%</t>
  </si>
  <si>
    <t>$20.45M</t>
  </si>
  <si>
    <t>$1M</t>
  </si>
  <si>
    <t>92.06M</t>
  </si>
  <si>
    <t>MetaMask USD</t>
  </si>
  <si>
    <t>mUSD</t>
  </si>
  <si>
    <t>$20.43M</t>
  </si>
  <si>
    <t>$2.41M</t>
  </si>
  <si>
    <t>20.36M</t>
  </si>
  <si>
    <t>Steem</t>
  </si>
  <si>
    <t>STEEM</t>
  </si>
  <si>
    <t>$0.03669</t>
  </si>
  <si>
    <t>$20.33M</t>
  </si>
  <si>
    <t>$2.44M</t>
  </si>
  <si>
    <t>554.14M</t>
  </si>
  <si>
    <t>OpenAI
Pre-IPO stock (Republic)</t>
  </si>
  <si>
    <t>preOPAI</t>
  </si>
  <si>
    <t>$698.53</t>
  </si>
  <si>
    <t>$20.31M</t>
  </si>
  <si>
    <t>$492.3K</t>
  </si>
  <si>
    <t>29.08K</t>
  </si>
  <si>
    <t>Cartesi</t>
  </si>
  <si>
    <t>CTSI</t>
  </si>
  <si>
    <t>$0.02180</t>
  </si>
  <si>
    <t>0.27%</t>
  </si>
  <si>
    <t>$3.26M</t>
  </si>
  <si>
    <t>931.41M</t>
  </si>
  <si>
    <t>τemplar</t>
  </si>
  <si>
    <t>SN3</t>
  </si>
  <si>
    <t>$4.80</t>
  </si>
  <si>
    <t>$20.28M</t>
  </si>
  <si>
    <t>$131.99K</t>
  </si>
  <si>
    <t>4.21M</t>
  </si>
  <si>
    <t>Storj</t>
  </si>
  <si>
    <t>STORJ</t>
  </si>
  <si>
    <t>$0.04767</t>
  </si>
  <si>
    <t>0.69%</t>
  </si>
  <si>
    <t>$20.26M</t>
  </si>
  <si>
    <t>$8.57M</t>
  </si>
  <si>
    <t>424.99M</t>
  </si>
  <si>
    <t>TokenPocket</t>
  </si>
  <si>
    <t>TPT</t>
  </si>
  <si>
    <t>$0.005809</t>
  </si>
  <si>
    <t>$20.14M</t>
  </si>
  <si>
    <t>$27.59K</t>
  </si>
  <si>
    <t>3.46B</t>
  </si>
  <si>
    <t>Humidifi</t>
  </si>
  <si>
    <t>WET</t>
  </si>
  <si>
    <t>$0.07019</t>
  </si>
  <si>
    <t>$16.14M</t>
  </si>
  <si>
    <t>$3.28M</t>
  </si>
  <si>
    <t>230M</t>
  </si>
  <si>
    <t>Shentu</t>
  </si>
  <si>
    <t>CTK</t>
  </si>
  <si>
    <t>$0.09886</t>
  </si>
  <si>
    <t>$16.02M</t>
  </si>
  <si>
    <t>$1.15M</t>
  </si>
  <si>
    <t>162.1M</t>
  </si>
  <si>
    <t>Global Commercial Business</t>
  </si>
  <si>
    <t>GCB</t>
  </si>
  <si>
    <t>$0.01333</t>
  </si>
  <si>
    <t>$80.73</t>
  </si>
  <si>
    <t>1.2B</t>
  </si>
  <si>
    <t>pippin</t>
  </si>
  <si>
    <t>PIPPIN</t>
  </si>
  <si>
    <t>$0.01602</t>
  </si>
  <si>
    <t>1.83%</t>
  </si>
  <si>
    <t>$2.89M</t>
  </si>
  <si>
    <t>RIZE</t>
  </si>
  <si>
    <t>$0.008105</t>
  </si>
  <si>
    <t>10.12%</t>
  </si>
  <si>
    <t>$15.97M</t>
  </si>
  <si>
    <t>$466.54K</t>
  </si>
  <si>
    <t>1.97B</t>
  </si>
  <si>
    <t>Tensor</t>
  </si>
  <si>
    <t>TNSR</t>
  </si>
  <si>
    <t>$0.03028</t>
  </si>
  <si>
    <t>$15.95M</t>
  </si>
  <si>
    <t>$4.69M</t>
  </si>
  <si>
    <t>526.87M</t>
  </si>
  <si>
    <t>Adshares</t>
  </si>
  <si>
    <t>ADS</t>
  </si>
  <si>
    <t>$0.4112</t>
  </si>
  <si>
    <t>$15.93M</t>
  </si>
  <si>
    <t>$103.18K</t>
  </si>
  <si>
    <t>38.74M</t>
  </si>
  <si>
    <t>Flux</t>
  </si>
  <si>
    <t>FLUX</t>
  </si>
  <si>
    <t>$0.03824</t>
  </si>
  <si>
    <t>0.06%</t>
  </si>
  <si>
    <t>$15.89M</t>
  </si>
  <si>
    <t>$2.73M</t>
  </si>
  <si>
    <t>415.63M</t>
  </si>
  <si>
    <t>TAC Protocol</t>
  </si>
  <si>
    <t>TAC</t>
  </si>
  <si>
    <t>$0.003285</t>
  </si>
  <si>
    <t>1.60%</t>
  </si>
  <si>
    <t>$15.88M</t>
  </si>
  <si>
    <t>$1.81M</t>
  </si>
  <si>
    <t>4.83B</t>
  </si>
  <si>
    <t>Blast</t>
  </si>
  <si>
    <t>BLAST</t>
  </si>
  <si>
    <t>$0.0002390</t>
  </si>
  <si>
    <t>0.61%</t>
  </si>
  <si>
    <t>$15.87M</t>
  </si>
  <si>
    <t>$2.97M</t>
  </si>
  <si>
    <t>66.39B</t>
  </si>
  <si>
    <t>Araracoin</t>
  </si>
  <si>
    <t>ARARA</t>
  </si>
  <si>
    <t>$0.0004361</t>
  </si>
  <si>
    <t>$15.81M</t>
  </si>
  <si>
    <t>$14.99K</t>
  </si>
  <si>
    <t>36.25B</t>
  </si>
  <si>
    <t>Fulcrom Finance</t>
  </si>
  <si>
    <t>FUL</t>
  </si>
  <si>
    <t>$0.0009418</t>
  </si>
  <si>
    <t>1.76%</t>
  </si>
  <si>
    <t>$15.73M</t>
  </si>
  <si>
    <t>$6.13K</t>
  </si>
  <si>
    <t>16.7B</t>
  </si>
  <si>
    <t>Yei Finance</t>
  </si>
  <si>
    <t>CLO</t>
  </si>
  <si>
    <t>$0.1213</t>
  </si>
  <si>
    <t>0.58%</t>
  </si>
  <si>
    <t>$15.66M</t>
  </si>
  <si>
    <t>129.1M</t>
  </si>
  <si>
    <t>WalletConnect Token</t>
  </si>
  <si>
    <t>WCT</t>
  </si>
  <si>
    <t>$0.03608</t>
  </si>
  <si>
    <t>$15.67M</t>
  </si>
  <si>
    <t>$7.35M</t>
  </si>
  <si>
    <t>434.3M</t>
  </si>
  <si>
    <t>STBL</t>
  </si>
  <si>
    <t>$0.02227</t>
  </si>
  <si>
    <t>$15.59M</t>
  </si>
  <si>
    <t>$1.58M</t>
  </si>
  <si>
    <t>700M</t>
  </si>
  <si>
    <t>Radworks</t>
  </si>
  <si>
    <t>RAD</t>
  </si>
  <si>
    <t>$12.05M</t>
  </si>
  <si>
    <t>$3M</t>
  </si>
  <si>
    <t>59.07M</t>
  </si>
  <si>
    <t>INFINIT</t>
  </si>
  <si>
    <t>IN</t>
  </si>
  <si>
    <t>$0.03492</t>
  </si>
  <si>
    <t>0.41%</t>
  </si>
  <si>
    <t>$3.17M</t>
  </si>
  <si>
    <t>345.06M</t>
  </si>
  <si>
    <t>Celer Network</t>
  </si>
  <si>
    <t>CELR</t>
  </si>
  <si>
    <t>$0.001539</t>
  </si>
  <si>
    <t>$12.01M</t>
  </si>
  <si>
    <t>$2.26M</t>
  </si>
  <si>
    <t>7.8B</t>
  </si>
  <si>
    <t>Orchid</t>
  </si>
  <si>
    <t>OXT</t>
  </si>
  <si>
    <t>$0.01204</t>
  </si>
  <si>
    <t>1.03%</t>
  </si>
  <si>
    <t>$12M</t>
  </si>
  <si>
    <t>$3.53M</t>
  </si>
  <si>
    <t>997.21M</t>
  </si>
  <si>
    <t>SaucerSwap</t>
  </si>
  <si>
    <t>SAUCE</t>
  </si>
  <si>
    <t>$0.01307</t>
  </si>
  <si>
    <t>$11.98M</t>
  </si>
  <si>
    <t>$1.05K</t>
  </si>
  <si>
    <t>916.76M</t>
  </si>
  <si>
    <t>CZ's Dog</t>
  </si>
  <si>
    <t>BROCCOLI</t>
  </si>
  <si>
    <t>$0.01238</t>
  </si>
  <si>
    <t>1.12%</t>
  </si>
  <si>
    <t>$11.97M</t>
  </si>
  <si>
    <t>967.03M</t>
  </si>
  <si>
    <t>Wirex Token</t>
  </si>
  <si>
    <t>WXT</t>
  </si>
  <si>
    <t>$0.001193</t>
  </si>
  <si>
    <t>0.51%</t>
  </si>
  <si>
    <t>$11.93M</t>
  </si>
  <si>
    <t>$296.41K</t>
  </si>
  <si>
    <t>10B</t>
  </si>
  <si>
    <t>USDB</t>
  </si>
  <si>
    <t>$0.9948</t>
  </si>
  <si>
    <t>$11.94M</t>
  </si>
  <si>
    <t>12M</t>
  </si>
  <si>
    <t>OG Fan Token</t>
  </si>
  <si>
    <t>OG</t>
  </si>
  <si>
    <t>$2.49</t>
  </si>
  <si>
    <t>$11.86M</t>
  </si>
  <si>
    <t>$2.16M</t>
  </si>
  <si>
    <t>4.75M</t>
  </si>
  <si>
    <t>Bitcoin Diamond</t>
  </si>
  <si>
    <t>BCD</t>
  </si>
  <si>
    <t>$0.06321</t>
  </si>
  <si>
    <t>$11.78M</t>
  </si>
  <si>
    <t>186.49M</t>
  </si>
  <si>
    <t>XSGD</t>
  </si>
  <si>
    <t>$0.7794</t>
  </si>
  <si>
    <t>$11.77M</t>
  </si>
  <si>
    <t>$523.62K</t>
  </si>
  <si>
    <t>15.1M</t>
  </si>
  <si>
    <t>tokenbot</t>
  </si>
  <si>
    <t>CLANKER</t>
  </si>
  <si>
    <t>$11.86</t>
  </si>
  <si>
    <t>$11.69M</t>
  </si>
  <si>
    <t>$1.93M</t>
  </si>
  <si>
    <t>986.27K</t>
  </si>
  <si>
    <t>ROGin AI</t>
  </si>
  <si>
    <t>ROG</t>
  </si>
  <si>
    <t>$0.1745</t>
  </si>
  <si>
    <t>2.00%</t>
  </si>
  <si>
    <t>$71.96K</t>
  </si>
  <si>
    <t>66.98M</t>
  </si>
  <si>
    <t>Biconomy</t>
  </si>
  <si>
    <t>BICO</t>
  </si>
  <si>
    <t>$0.01168</t>
  </si>
  <si>
    <t>$2.67M</t>
  </si>
  <si>
    <t>Micron Technology tokenized stock (xStock)</t>
  </si>
  <si>
    <t>MUx</t>
  </si>
  <si>
    <t>$918.43</t>
  </si>
  <si>
    <t>$11.67M</t>
  </si>
  <si>
    <t>$13.38M</t>
  </si>
  <si>
    <t>12.7K</t>
  </si>
  <si>
    <t>AITECH Cloud Network</t>
  </si>
  <si>
    <t>ACN</t>
  </si>
  <si>
    <t>$0.005246</t>
  </si>
  <si>
    <t>$9.36M</t>
  </si>
  <si>
    <t>$1.35M</t>
  </si>
  <si>
    <t>1.78B</t>
  </si>
  <si>
    <t>XION</t>
  </si>
  <si>
    <t>$0.1001</t>
  </si>
  <si>
    <t>1.53%</t>
  </si>
  <si>
    <t>$9.28M</t>
  </si>
  <si>
    <t>$389.06K</t>
  </si>
  <si>
    <t>92.67M</t>
  </si>
  <si>
    <t>Boba Network</t>
  </si>
  <si>
    <t>BOBA</t>
  </si>
  <si>
    <t>$0.01888</t>
  </si>
  <si>
    <t>$9.31M</t>
  </si>
  <si>
    <t>$1.17M</t>
  </si>
  <si>
    <t>493.58M</t>
  </si>
  <si>
    <t>Moonbeam</t>
  </si>
  <si>
    <t>GLMR</t>
  </si>
  <si>
    <t>$0.007726</t>
  </si>
  <si>
    <t>$9.3M</t>
  </si>
  <si>
    <t>$3.64M</t>
  </si>
  <si>
    <t>Dolomite</t>
  </si>
  <si>
    <t>DOLO</t>
  </si>
  <si>
    <t>$0.02096</t>
  </si>
  <si>
    <t>$9.25M</t>
  </si>
  <si>
    <t>$2.48M</t>
  </si>
  <si>
    <t>441.62M</t>
  </si>
  <si>
    <t>Space and Time</t>
  </si>
  <si>
    <t>SXT</t>
  </si>
  <si>
    <t>$0.006608</t>
  </si>
  <si>
    <t>1.85%</t>
  </si>
  <si>
    <t>$51.22M</t>
  </si>
  <si>
    <t>AriaAI</t>
  </si>
  <si>
    <t>ARIA</t>
  </si>
  <si>
    <t>$0.02576</t>
  </si>
  <si>
    <t>1.31%</t>
  </si>
  <si>
    <t>$804.79K</t>
  </si>
  <si>
    <t>359.11M</t>
  </si>
  <si>
    <t>ResearchCoin</t>
  </si>
  <si>
    <t>RSC</t>
  </si>
  <si>
    <t>$0.07104</t>
  </si>
  <si>
    <t>$9.2M</t>
  </si>
  <si>
    <t>$353.41K</t>
  </si>
  <si>
    <t>129.55M</t>
  </si>
  <si>
    <t>Just a chill guy</t>
  </si>
  <si>
    <t>CHILLGUY</t>
  </si>
  <si>
    <t>$0.009173</t>
  </si>
  <si>
    <t>2.02%</t>
  </si>
  <si>
    <t>$9.17M</t>
  </si>
  <si>
    <t>$4.21M</t>
  </si>
  <si>
    <t>999.94M</t>
  </si>
  <si>
    <t>Intuition</t>
  </si>
  <si>
    <t>TRUST</t>
  </si>
  <si>
    <t>$0.05085</t>
  </si>
  <si>
    <t>0.74%</t>
  </si>
  <si>
    <t>$9.13M</t>
  </si>
  <si>
    <t>$1.06M</t>
  </si>
  <si>
    <t>179.64M</t>
  </si>
  <si>
    <t>Vow</t>
  </si>
  <si>
    <t>VOW</t>
  </si>
  <si>
    <t>$0.02555</t>
  </si>
  <si>
    <t>$9.1M</t>
  </si>
  <si>
    <t>$227.09K</t>
  </si>
  <si>
    <t>356.28M</t>
  </si>
  <si>
    <t>Redbelly Network</t>
  </si>
  <si>
    <t>RBNT</t>
  </si>
  <si>
    <t>$0.003406</t>
  </si>
  <si>
    <t>$9.09M</t>
  </si>
  <si>
    <t>$159.18K</t>
  </si>
  <si>
    <t>2.66B</t>
  </si>
  <si>
    <t>KernelDAO</t>
  </si>
  <si>
    <t>KERNEL</t>
  </si>
  <si>
    <t>$0.03175</t>
  </si>
  <si>
    <t>$3.45M</t>
  </si>
  <si>
    <t>286.3M</t>
  </si>
  <si>
    <t>Avail</t>
  </si>
  <si>
    <t>AVAIL</t>
  </si>
  <si>
    <t>$0.002306</t>
  </si>
  <si>
    <t>$491.84K</t>
  </si>
  <si>
    <t>3.94B</t>
  </si>
  <si>
    <t>Vanar Chain</t>
  </si>
  <si>
    <t>VANRY</t>
  </si>
  <si>
    <t>$0.003698</t>
  </si>
  <si>
    <t>1.87%</t>
  </si>
  <si>
    <t>$8.78M</t>
  </si>
  <si>
    <t>$4.42M</t>
  </si>
  <si>
    <t>2.37B</t>
  </si>
  <si>
    <t>MyShell</t>
  </si>
  <si>
    <t>SHELL</t>
  </si>
  <si>
    <t>$0.01815</t>
  </si>
  <si>
    <t>$7.42M</t>
  </si>
  <si>
    <t>$3.92M</t>
  </si>
  <si>
    <t>409.11M</t>
  </si>
  <si>
    <t>Telos</t>
  </si>
  <si>
    <t>TLOS</t>
  </si>
  <si>
    <t>$0.01644</t>
  </si>
  <si>
    <t>0.09%</t>
  </si>
  <si>
    <t>$7.41M</t>
  </si>
  <si>
    <t>$883.55K</t>
  </si>
  <si>
    <t>450.83M</t>
  </si>
  <si>
    <t>iShares 0-3 Month Treasury Bond Tokenized ETF (Ondo)</t>
  </si>
  <si>
    <t>SGOVon</t>
  </si>
  <si>
    <t>$101.12</t>
  </si>
  <si>
    <t>$7.4M</t>
  </si>
  <si>
    <t>$1.08M</t>
  </si>
  <si>
    <t>73.26K</t>
  </si>
  <si>
    <t>AVA</t>
  </si>
  <si>
    <t>$0.007399</t>
  </si>
  <si>
    <t>$7.39M</t>
  </si>
  <si>
    <t>$459.41K</t>
  </si>
  <si>
    <t>999.19M</t>
  </si>
  <si>
    <t>DACXI</t>
  </si>
  <si>
    <t>DXI</t>
  </si>
  <si>
    <t>$0.0008781</t>
  </si>
  <si>
    <t>$7.37M</t>
  </si>
  <si>
    <t>$477.96K</t>
  </si>
  <si>
    <t>8.39B</t>
  </si>
  <si>
    <t>Hashflow</t>
  </si>
  <si>
    <t>HFT</t>
  </si>
  <si>
    <t>$0.008588</t>
  </si>
  <si>
    <t>$7.36M</t>
  </si>
  <si>
    <t>$50.84M</t>
  </si>
  <si>
    <t>857.37M</t>
  </si>
  <si>
    <t>SK hynix tokenized stock (xStock)</t>
  </si>
  <si>
    <t>SKHYx</t>
  </si>
  <si>
    <t>$161.38</t>
  </si>
  <si>
    <t>$7.33M</t>
  </si>
  <si>
    <t>$9.81M</t>
  </si>
  <si>
    <t>45.47K</t>
  </si>
  <si>
    <t>iShares MSCI Emerging Markets Tokenized ETF (Ondo)</t>
  </si>
  <si>
    <t>EEMon</t>
  </si>
  <si>
    <t>$65.39</t>
  </si>
  <si>
    <t>0.40%</t>
  </si>
  <si>
    <t>$7.29M</t>
  </si>
  <si>
    <t>$522.05K</t>
  </si>
  <si>
    <t>111.48K</t>
  </si>
  <si>
    <t>Ika</t>
  </si>
  <si>
    <t>IKA</t>
  </si>
  <si>
    <t>$0.002426</t>
  </si>
  <si>
    <t>$7.27M</t>
  </si>
  <si>
    <t>$290.16K</t>
  </si>
  <si>
    <t>3B</t>
  </si>
  <si>
    <t>Micron Technology Inc tokenized stock (Backpack)</t>
  </si>
  <si>
    <t>MU</t>
  </si>
  <si>
    <t>$920.43</t>
  </si>
  <si>
    <t>0.59%</t>
  </si>
  <si>
    <t>$6.18M</t>
  </si>
  <si>
    <t>7.89K</t>
  </si>
  <si>
    <t>AS Roma Fan Token</t>
  </si>
  <si>
    <t>ASR</t>
  </si>
  <si>
    <t>$0.8318</t>
  </si>
  <si>
    <t>$7.26M</t>
  </si>
  <si>
    <t>8.73M</t>
  </si>
  <si>
    <t>Tradoor</t>
  </si>
  <si>
    <t>TRADOOR</t>
  </si>
  <si>
    <t>$0.5047</t>
  </si>
  <si>
    <t>$7.24M</t>
  </si>
  <si>
    <t>$1.28M</t>
  </si>
  <si>
    <t>14.34M</t>
  </si>
  <si>
    <t>ULTILAND</t>
  </si>
  <si>
    <t>ARTX</t>
  </si>
  <si>
    <t>$0.09507</t>
  </si>
  <si>
    <t>$7.2M</t>
  </si>
  <si>
    <t>$1.02M</t>
  </si>
  <si>
    <t>75.75M</t>
  </si>
  <si>
    <t>Venus DAI</t>
  </si>
  <si>
    <t>vDAI</t>
  </si>
  <si>
    <t>$0.02618</t>
  </si>
  <si>
    <t>$7.18M</t>
  </si>
  <si>
    <t>274.53M</t>
  </si>
  <si>
    <t>Manyu (manyushiba.com)</t>
  </si>
  <si>
    <t>MANYU</t>
  </si>
  <si>
    <t>$0.087182</t>
  </si>
  <si>
    <t>0.80%</t>
  </si>
  <si>
    <t>$1.61M</t>
  </si>
  <si>
    <t>1P</t>
  </si>
  <si>
    <t>Alltoscan</t>
  </si>
  <si>
    <t>ATS</t>
  </si>
  <si>
    <t>$0.07752</t>
  </si>
  <si>
    <t>1.62%</t>
  </si>
  <si>
    <t>$5.71M</t>
  </si>
  <si>
    <t>$786.16K</t>
  </si>
  <si>
    <t>73.73M</t>
  </si>
  <si>
    <t>Hyperion</t>
  </si>
  <si>
    <t>RION</t>
  </si>
  <si>
    <t>$0.1628</t>
  </si>
  <si>
    <t>$5.7M</t>
  </si>
  <si>
    <t>$228.13K</t>
  </si>
  <si>
    <t>35.03M</t>
  </si>
  <si>
    <t>Grove</t>
  </si>
  <si>
    <t>GROVE</t>
  </si>
  <si>
    <t>$0.009579</t>
  </si>
  <si>
    <t>$5.68M</t>
  </si>
  <si>
    <t>$869.13K</t>
  </si>
  <si>
    <t>593.56M</t>
  </si>
  <si>
    <t>inSure DeFi</t>
  </si>
  <si>
    <t>SURE</t>
  </si>
  <si>
    <t>$0.0002122</t>
  </si>
  <si>
    <t>26.79B</t>
  </si>
  <si>
    <t>MAP Protocol</t>
  </si>
  <si>
    <t>MAPO</t>
  </si>
  <si>
    <t>$0.0009115</t>
  </si>
  <si>
    <t>$540.34K</t>
  </si>
  <si>
    <t>6.23B</t>
  </si>
  <si>
    <t>Elastos</t>
  </si>
  <si>
    <t>ELA</t>
  </si>
  <si>
    <t>$0.2458</t>
  </si>
  <si>
    <t>$5.67M</t>
  </si>
  <si>
    <t>$237.94K</t>
  </si>
  <si>
    <t>23.08M</t>
  </si>
  <si>
    <t>NetX</t>
  </si>
  <si>
    <t>NETX</t>
  </si>
  <si>
    <t>$0.2345</t>
  </si>
  <si>
    <t>0.79%</t>
  </si>
  <si>
    <t>$5.64M</t>
  </si>
  <si>
    <t>$210.42K</t>
  </si>
  <si>
    <t>24.08M</t>
  </si>
  <si>
    <t>Layer3</t>
  </si>
  <si>
    <t>L3</t>
  </si>
  <si>
    <t>$0.004657</t>
  </si>
  <si>
    <t>0.46%</t>
  </si>
  <si>
    <t>$1.92M</t>
  </si>
  <si>
    <t>1.21B</t>
  </si>
  <si>
    <t>ProShares UltraPro QQQ Tokenized Stock (Ondo)</t>
  </si>
  <si>
    <t>TQQQon</t>
  </si>
  <si>
    <t>$65.86</t>
  </si>
  <si>
    <t>0.60%</t>
  </si>
  <si>
    <t>$5.63M</t>
  </si>
  <si>
    <t>$1.51M</t>
  </si>
  <si>
    <t>85.48K</t>
  </si>
  <si>
    <t>Save</t>
  </si>
  <si>
    <t>SAVE</t>
  </si>
  <si>
    <t>$0.1231</t>
  </si>
  <si>
    <t>$5.62M</t>
  </si>
  <si>
    <t>45.66M</t>
  </si>
  <si>
    <t>LimeWire</t>
  </si>
  <si>
    <t>LMWR</t>
  </si>
  <si>
    <t>$0.01097</t>
  </si>
  <si>
    <t>$5.6M</t>
  </si>
  <si>
    <t>$1.04M</t>
  </si>
  <si>
    <t>510.51M</t>
  </si>
  <si>
    <t>iShares Russell 2000 Value Tokenized ETF (Ondo)</t>
  </si>
  <si>
    <t>IWNon</t>
  </si>
  <si>
    <t>$226.47</t>
  </si>
  <si>
    <t>$5.59M</t>
  </si>
  <si>
    <t>$129.08K</t>
  </si>
  <si>
    <t>24.7K</t>
  </si>
  <si>
    <t>Utrust</t>
  </si>
  <si>
    <t>UTK</t>
  </si>
  <si>
    <t>$0.007942</t>
  </si>
  <si>
    <t>$5.09M</t>
  </si>
  <si>
    <t>704.06M</t>
  </si>
  <si>
    <t>RACA</t>
  </si>
  <si>
    <t>$0.00001354</t>
  </si>
  <si>
    <t>$5.57M</t>
  </si>
  <si>
    <t>$189.85K</t>
  </si>
  <si>
    <t>411.67B</t>
  </si>
  <si>
    <t>Beta Finance</t>
  </si>
  <si>
    <t>BETA</t>
  </si>
  <si>
    <t>$0.005577</t>
  </si>
  <si>
    <t>$115.13</t>
  </si>
  <si>
    <t>Open Loot</t>
  </si>
  <si>
    <t>OL</t>
  </si>
  <si>
    <t>$0.005495</t>
  </si>
  <si>
    <t>0.91%</t>
  </si>
  <si>
    <t>$4.4M</t>
  </si>
  <si>
    <t>$658.73K</t>
  </si>
  <si>
    <t>800.7M</t>
  </si>
  <si>
    <t>Landwolf 0x67</t>
  </si>
  <si>
    <t>WOLF</t>
  </si>
  <si>
    <t>$0.054876</t>
  </si>
  <si>
    <t>1.29%</t>
  </si>
  <si>
    <t>$4.39M</t>
  </si>
  <si>
    <t>$174.45K</t>
  </si>
  <si>
    <t>902.15B</t>
  </si>
  <si>
    <t>Viction</t>
  </si>
  <si>
    <t>VIC</t>
  </si>
  <si>
    <t>$0.03435</t>
  </si>
  <si>
    <t>$4.37M</t>
  </si>
  <si>
    <t>127.5M</t>
  </si>
  <si>
    <t>CONX</t>
  </si>
  <si>
    <t>XPLA</t>
  </si>
  <si>
    <t>$0.004454</t>
  </si>
  <si>
    <t>1.96%</t>
  </si>
  <si>
    <t>$4.36M</t>
  </si>
  <si>
    <t>$35.62K</t>
  </si>
  <si>
    <t>978.91M</t>
  </si>
  <si>
    <t>Galeon</t>
  </si>
  <si>
    <t>GALEON</t>
  </si>
  <si>
    <t>$0.005254</t>
  </si>
  <si>
    <t>$4.33M</t>
  </si>
  <si>
    <t>824.77M</t>
  </si>
  <si>
    <t>Lingo</t>
  </si>
  <si>
    <t>LINGO</t>
  </si>
  <si>
    <t>$0.008881</t>
  </si>
  <si>
    <t>0.13%</t>
  </si>
  <si>
    <t>$4.31M</t>
  </si>
  <si>
    <t>$160.25K</t>
  </si>
  <si>
    <t>486.2M</t>
  </si>
  <si>
    <t>NEM</t>
  </si>
  <si>
    <t>XEM</t>
  </si>
  <si>
    <t>$0.0004715</t>
  </si>
  <si>
    <t>1.64%</t>
  </si>
  <si>
    <t>$4.24M</t>
  </si>
  <si>
    <t>$118.44K</t>
  </si>
  <si>
    <t>8.99B</t>
  </si>
  <si>
    <t>Lava Network</t>
  </si>
  <si>
    <t>LAVA</t>
  </si>
  <si>
    <t>$0.01626</t>
  </si>
  <si>
    <t>$4.3M</t>
  </si>
  <si>
    <t>$784.69K</t>
  </si>
  <si>
    <t>264.5M</t>
  </si>
  <si>
    <t>Bytecoin</t>
  </si>
  <si>
    <t>BCN</t>
  </si>
  <si>
    <t>$0.00002327</t>
  </si>
  <si>
    <t>$4.28M</t>
  </si>
  <si>
    <t>184.06B</t>
  </si>
  <si>
    <t>AIVille Governance Token</t>
  </si>
  <si>
    <t>AIV</t>
  </si>
  <si>
    <t>$0.001540</t>
  </si>
  <si>
    <t>$4.27M</t>
  </si>
  <si>
    <t>$23.94</t>
  </si>
  <si>
    <t>2.77B</t>
  </si>
  <si>
    <t>WhiteCoin</t>
  </si>
  <si>
    <t>XWC</t>
  </si>
  <si>
    <t>$0.005595</t>
  </si>
  <si>
    <t>$817.57K</t>
  </si>
  <si>
    <t>764.32M</t>
  </si>
  <si>
    <t>Lockheed Tokenized Stock (Ondo)</t>
  </si>
  <si>
    <t>LMTon</t>
  </si>
  <si>
    <t>$581.11</t>
  </si>
  <si>
    <t>$1.31M</t>
  </si>
  <si>
    <t>7.35K</t>
  </si>
  <si>
    <t>Tokemak</t>
  </si>
  <si>
    <t>TOKE</t>
  </si>
  <si>
    <t>$0.04723</t>
  </si>
  <si>
    <t>$1.01K</t>
  </si>
  <si>
    <t>90.5M</t>
  </si>
  <si>
    <t>ShareX</t>
  </si>
  <si>
    <t>SHARE</t>
  </si>
  <si>
    <t>$0.2368</t>
  </si>
  <si>
    <t>$4.26M</t>
  </si>
  <si>
    <t>18M</t>
  </si>
  <si>
    <t>CateCoin</t>
  </si>
  <si>
    <t>CATE</t>
  </si>
  <si>
    <t>$0.077418</t>
  </si>
  <si>
    <t>$1.9K</t>
  </si>
  <si>
    <t>57.27T</t>
  </si>
  <si>
    <t>Giant Mammoth</t>
  </si>
  <si>
    <t>GMMT</t>
  </si>
  <si>
    <t>$0.001620</t>
  </si>
  <si>
    <t>3.31%</t>
  </si>
  <si>
    <t>$3.4M</t>
  </si>
  <si>
    <t>$2.52K</t>
  </si>
  <si>
    <t>2.1B</t>
  </si>
  <si>
    <t>Sui Name Service</t>
  </si>
  <si>
    <t>NS</t>
  </si>
  <si>
    <t>$0.01101</t>
  </si>
  <si>
    <t>$3.38M</t>
  </si>
  <si>
    <t>$145.85K</t>
  </si>
  <si>
    <t>307.24M</t>
  </si>
  <si>
    <t>Ren</t>
  </si>
  <si>
    <t>REN</t>
  </si>
  <si>
    <t>$0.003392</t>
  </si>
  <si>
    <t>$3.36M</t>
  </si>
  <si>
    <t>$8.92K</t>
  </si>
  <si>
    <t>992.87M</t>
  </si>
  <si>
    <t>Apple Tokenized bStocks</t>
  </si>
  <si>
    <t>AAPLB</t>
  </si>
  <si>
    <t>$311.90</t>
  </si>
  <si>
    <t>$3.35M</t>
  </si>
  <si>
    <t>$16.16M</t>
  </si>
  <si>
    <t>10.75K</t>
  </si>
  <si>
    <t>Gems</t>
  </si>
  <si>
    <t>GEMS</t>
  </si>
  <si>
    <t>$0.005599</t>
  </si>
  <si>
    <t>$120.34K</t>
  </si>
  <si>
    <t>598.86M</t>
  </si>
  <si>
    <t>AST SpaceMobile Tokenized Stock (Ondo)</t>
  </si>
  <si>
    <t>ASTSon</t>
  </si>
  <si>
    <t>$59.70</t>
  </si>
  <si>
    <t>0.18%</t>
  </si>
  <si>
    <t>$3.34M</t>
  </si>
  <si>
    <t>$231.73K</t>
  </si>
  <si>
    <t>56.03K</t>
  </si>
  <si>
    <t>GamerCoin</t>
  </si>
  <si>
    <t>GHX</t>
  </si>
  <si>
    <t>$0.005139</t>
  </si>
  <si>
    <t>1.02%</t>
  </si>
  <si>
    <t>$242.53K</t>
  </si>
  <si>
    <t>649.96M</t>
  </si>
  <si>
    <t>Buying.com</t>
  </si>
  <si>
    <t>BUY</t>
  </si>
  <si>
    <t>$0.01004</t>
  </si>
  <si>
    <t>$3.33M</t>
  </si>
  <si>
    <t>$8.07K</t>
  </si>
  <si>
    <t>331.78M</t>
  </si>
  <si>
    <t>VitaDAO</t>
  </si>
  <si>
    <t>VITA</t>
  </si>
  <si>
    <t>$0.2304</t>
  </si>
  <si>
    <t>$3.97K</t>
  </si>
  <si>
    <t>14.44M</t>
  </si>
  <si>
    <t>Liqwid Finance</t>
  </si>
  <si>
    <t>LQ</t>
  </si>
  <si>
    <t>$0.1653</t>
  </si>
  <si>
    <t>$3.32M</t>
  </si>
  <si>
    <t>$27.64K</t>
  </si>
  <si>
    <t>20.14M</t>
  </si>
  <si>
    <t>CESS Network</t>
  </si>
  <si>
    <t>CESS</t>
  </si>
  <si>
    <t>$0.001252</t>
  </si>
  <si>
    <t>0.32%</t>
  </si>
  <si>
    <t>$3.31M</t>
  </si>
  <si>
    <t>$176.18K</t>
  </si>
  <si>
    <t>2.65B</t>
  </si>
  <si>
    <t>Games for a Living</t>
  </si>
  <si>
    <t>GFAL</t>
  </si>
  <si>
    <t>$0.0007904</t>
  </si>
  <si>
    <t>$239.95</t>
  </si>
  <si>
    <t>4.19B</t>
  </si>
  <si>
    <t>TrustSwap</t>
  </si>
  <si>
    <t>SWAP</t>
  </si>
  <si>
    <t>$0.03320</t>
  </si>
  <si>
    <t>$37.1K</t>
  </si>
  <si>
    <t>99.99M</t>
  </si>
  <si>
    <t>Yee Token</t>
  </si>
  <si>
    <t>YEE</t>
  </si>
  <si>
    <t>$0.003297</t>
  </si>
  <si>
    <t>$3.29M</t>
  </si>
  <si>
    <t>$447.37K</t>
  </si>
  <si>
    <t>World3</t>
  </si>
  <si>
    <t>WAI</t>
  </si>
  <si>
    <t>$0.009704</t>
  </si>
  <si>
    <t>$103.07K</t>
  </si>
  <si>
    <t>339.06M</t>
  </si>
  <si>
    <t>AMD Tokenized Stock (Reality)</t>
  </si>
  <si>
    <t>rAMD</t>
  </si>
  <si>
    <t>$505.12</t>
  </si>
  <si>
    <t>$2.64M</t>
  </si>
  <si>
    <t>$16.67K</t>
  </si>
  <si>
    <t>5.24K</t>
  </si>
  <si>
    <t>iShares MSCI South Korea tokenized ETF (xStock)</t>
  </si>
  <si>
    <t>EWYx</t>
  </si>
  <si>
    <t>$167.91</t>
  </si>
  <si>
    <t>1.09%</t>
  </si>
  <si>
    <t>$2.62M</t>
  </si>
  <si>
    <t>$1.38M</t>
  </si>
  <si>
    <t>15.64K</t>
  </si>
  <si>
    <t>Chevron Tokenized Stock (Ondo)</t>
  </si>
  <si>
    <t>CVXon</t>
  </si>
  <si>
    <t>$196.21</t>
  </si>
  <si>
    <t>13.35K</t>
  </si>
  <si>
    <t>Global X DRAM ETF Tokenized Stock (Reality)</t>
  </si>
  <si>
    <t>rDRAM</t>
  </si>
  <si>
    <t>$55.54</t>
  </si>
  <si>
    <t>0.92%</t>
  </si>
  <si>
    <t>$721.8K</t>
  </si>
  <si>
    <t>47.14K</t>
  </si>
  <si>
    <t>Not Pixel</t>
  </si>
  <si>
    <t>PX</t>
  </si>
  <si>
    <t>$0.01339</t>
  </si>
  <si>
    <t>195.42M</t>
  </si>
  <si>
    <t>Free Joby</t>
  </si>
  <si>
    <t>JOBY</t>
  </si>
  <si>
    <t>$0.002619</t>
  </si>
  <si>
    <t>3.91%</t>
  </si>
  <si>
    <t>$134.02K</t>
  </si>
  <si>
    <t>Forest Protocol</t>
  </si>
  <si>
    <t>FOREST</t>
  </si>
  <si>
    <t>$0.02235</t>
  </si>
  <si>
    <t>$187.55K</t>
  </si>
  <si>
    <t>117.18M</t>
  </si>
  <si>
    <t>错版马</t>
  </si>
  <si>
    <t>哭哭马</t>
  </si>
  <si>
    <t>$0.002601</t>
  </si>
  <si>
    <t>2.26%</t>
  </si>
  <si>
    <t>$2.6M</t>
  </si>
  <si>
    <t>$489.01K</t>
  </si>
  <si>
    <t>Star Atlas DAO</t>
  </si>
  <si>
    <t>POLIS</t>
  </si>
  <si>
    <t>$0.008856</t>
  </si>
  <si>
    <t>$2.59M</t>
  </si>
  <si>
    <t>$26.76K</t>
  </si>
  <si>
    <t>292.5M</t>
  </si>
  <si>
    <t>Tectum</t>
  </si>
  <si>
    <t>TET</t>
  </si>
  <si>
    <t>$0.2605</t>
  </si>
  <si>
    <t>$2.58M</t>
  </si>
  <si>
    <t>$84.79K</t>
  </si>
  <si>
    <t>9.93M</t>
  </si>
  <si>
    <t>VOOI</t>
  </si>
  <si>
    <t>$0.007495</t>
  </si>
  <si>
    <t>$446.67K</t>
  </si>
  <si>
    <t>344.85M</t>
  </si>
  <si>
    <t>GOLDAO</t>
  </si>
  <si>
    <t>$0.003260</t>
  </si>
  <si>
    <t>$1.17K</t>
  </si>
  <si>
    <t>792.55M</t>
  </si>
  <si>
    <t>Novo Nordisk Tokenized Stock (Ondo)</t>
  </si>
  <si>
    <t>NVOon</t>
  </si>
  <si>
    <t>$52.43</t>
  </si>
  <si>
    <t>$2.57M</t>
  </si>
  <si>
    <t>$765.65K</t>
  </si>
  <si>
    <t>49.16K</t>
  </si>
  <si>
    <t>Inter Milan Fan Token</t>
  </si>
  <si>
    <t>INTER</t>
  </si>
  <si>
    <t>$0.2039</t>
  </si>
  <si>
    <t>$1.39M</t>
  </si>
  <si>
    <t>12.62M</t>
  </si>
  <si>
    <t>Meta Tokenized Stock (Reality)</t>
  </si>
  <si>
    <t>rMETA</t>
  </si>
  <si>
    <t>$549.43</t>
  </si>
  <si>
    <t>$130.43K</t>
  </si>
  <si>
    <t>4.68K</t>
  </si>
  <si>
    <t>Flying Tulip</t>
  </si>
  <si>
    <t>FT</t>
  </si>
  <si>
    <t>$0.09903</t>
  </si>
  <si>
    <t>$2.03M</t>
  </si>
  <si>
    <t>$284.19K</t>
  </si>
  <si>
    <t>20.58M</t>
  </si>
  <si>
    <t>Sharp</t>
  </si>
  <si>
    <t>SHARP</t>
  </si>
  <si>
    <t>$0.0007572</t>
  </si>
  <si>
    <t>$75.45K</t>
  </si>
  <si>
    <t>2.68B</t>
  </si>
  <si>
    <t>401jK</t>
  </si>
  <si>
    <t>401JK</t>
  </si>
  <si>
    <t>$0.002030</t>
  </si>
  <si>
    <t>$28.22K</t>
  </si>
  <si>
    <t>BORGY</t>
  </si>
  <si>
    <t>$0.00002599</t>
  </si>
  <si>
    <t>$2.01M</t>
  </si>
  <si>
    <t>77.57B</t>
  </si>
  <si>
    <t>tao.bot</t>
  </si>
  <si>
    <t>TAOBOT</t>
  </si>
  <si>
    <t>$0.02626</t>
  </si>
  <si>
    <t>76.66M</t>
  </si>
  <si>
    <t>IREN Tokenized Stock (Ondo)</t>
  </si>
  <si>
    <t>IRENon</t>
  </si>
  <si>
    <t>$40.76</t>
  </si>
  <si>
    <t>1.77%</t>
  </si>
  <si>
    <t>$1.67M</t>
  </si>
  <si>
    <t>49.34K</t>
  </si>
  <si>
    <t>Humans.ai</t>
  </si>
  <si>
    <t>HEART</t>
  </si>
  <si>
    <t>$0.0002598</t>
  </si>
  <si>
    <t>3.85%</t>
  </si>
  <si>
    <t>$2.02M</t>
  </si>
  <si>
    <t>$76.42K</t>
  </si>
  <si>
    <t>Microsoft Tokenized Stock (Reality)</t>
  </si>
  <si>
    <t>rMSFT</t>
  </si>
  <si>
    <t>$446.18</t>
  </si>
  <si>
    <t>$323.67K</t>
  </si>
  <si>
    <t>4.49K</t>
  </si>
  <si>
    <t>Toyota Tokenized Stock (Ondo)</t>
  </si>
  <si>
    <t>TMon</t>
  </si>
  <si>
    <t>$194.04</t>
  </si>
  <si>
    <t>0.85%</t>
  </si>
  <si>
    <t>$133.47K</t>
  </si>
  <si>
    <t>10.29K</t>
  </si>
  <si>
    <t>WYDE: End Hunger</t>
  </si>
  <si>
    <t>EAT</t>
  </si>
  <si>
    <t>$0.0001937</t>
  </si>
  <si>
    <t>$1.98M</t>
  </si>
  <si>
    <t>$7.24K</t>
  </si>
  <si>
    <t>10.26B</t>
  </si>
  <si>
    <t>OneFootball Credits</t>
  </si>
  <si>
    <t>OFC</t>
  </si>
  <si>
    <t>$0.008737</t>
  </si>
  <si>
    <t>227.36M</t>
  </si>
  <si>
    <t>Visa Tokenized Stock (Ondo)</t>
  </si>
  <si>
    <t>Von</t>
  </si>
  <si>
    <t>$364.31</t>
  </si>
  <si>
    <t>$1.97M</t>
  </si>
  <si>
    <t>$307.54K</t>
  </si>
  <si>
    <t>5.43K</t>
  </si>
  <si>
    <t>Streamflow</t>
  </si>
  <si>
    <t>STREAM</t>
  </si>
  <si>
    <t>$0.007691</t>
  </si>
  <si>
    <t>$62.36K</t>
  </si>
  <si>
    <t>257.76M</t>
  </si>
  <si>
    <t>Tarot</t>
  </si>
  <si>
    <t>TAROT</t>
  </si>
  <si>
    <t>$0.02915</t>
  </si>
  <si>
    <t>$1.86K</t>
  </si>
  <si>
    <t>67.7M</t>
  </si>
  <si>
    <t>Microsoft Tokenized bStocks</t>
  </si>
  <si>
    <t>MSFTB</t>
  </si>
  <si>
    <t>$446.65</t>
  </si>
  <si>
    <t>$2.77M</t>
  </si>
  <si>
    <t>4.41K</t>
  </si>
  <si>
    <t>0x0.ai</t>
  </si>
  <si>
    <t>0x0</t>
  </si>
  <si>
    <t>$0.001846</t>
  </si>
  <si>
    <t>$1.6M</t>
  </si>
  <si>
    <t>868.56M</t>
  </si>
  <si>
    <t>Rarible</t>
  </si>
  <si>
    <t>RARI</t>
  </si>
  <si>
    <t>$0.08178</t>
  </si>
  <si>
    <t>$226.33K</t>
  </si>
  <si>
    <t>19.48M</t>
  </si>
  <si>
    <t>Troll (troll.run)</t>
  </si>
  <si>
    <t>TROLL</t>
  </si>
  <si>
    <t>$0.081660</t>
  </si>
  <si>
    <t>$108.79K</t>
  </si>
  <si>
    <t>960.42T</t>
  </si>
  <si>
    <t>Infrared</t>
  </si>
  <si>
    <t>IR</t>
  </si>
  <si>
    <t>$0.007762</t>
  </si>
  <si>
    <t>$610.25K</t>
  </si>
  <si>
    <t>205M</t>
  </si>
  <si>
    <t>iMe Lab</t>
  </si>
  <si>
    <t>LIME</t>
  </si>
  <si>
    <t>$0.002107</t>
  </si>
  <si>
    <t>$110.02K</t>
  </si>
  <si>
    <t>754.34M</t>
  </si>
  <si>
    <t>Blockchain Foundation for Innovation &amp; Collaboration</t>
  </si>
  <si>
    <t>BFIC</t>
  </si>
  <si>
    <t>$0.1498</t>
  </si>
  <si>
    <t>$163.88</t>
  </si>
  <si>
    <t>10.57M</t>
  </si>
  <si>
    <t>OpenChat</t>
  </si>
  <si>
    <t>CHAT</t>
  </si>
  <si>
    <t>$0.05289</t>
  </si>
  <si>
    <t>0.19%</t>
  </si>
  <si>
    <t>$14.39K</t>
  </si>
  <si>
    <t>29.94M</t>
  </si>
  <si>
    <t>Kwenta</t>
  </si>
  <si>
    <t>KWENTA</t>
  </si>
  <si>
    <t>$3.65</t>
  </si>
  <si>
    <t>$1.57M</t>
  </si>
  <si>
    <t>431.8K</t>
  </si>
  <si>
    <t>HI</t>
  </si>
  <si>
    <t>$0.00002541</t>
  </si>
  <si>
    <t>62.07B</t>
  </si>
  <si>
    <t>Reserve AI Photonics Tokenized DTF</t>
  </si>
  <si>
    <t>PHOTON</t>
  </si>
  <si>
    <t>$76.90</t>
  </si>
  <si>
    <t>$209.2K</t>
  </si>
  <si>
    <t>20.5K</t>
  </si>
  <si>
    <t>Everest</t>
  </si>
  <si>
    <t>ID</t>
  </si>
  <si>
    <t>$0.01348</t>
  </si>
  <si>
    <t>116.7M</t>
  </si>
  <si>
    <t>Western Digital Tokenized bStocks</t>
  </si>
  <si>
    <t>WDCB</t>
  </si>
  <si>
    <t>$568.13</t>
  </si>
  <si>
    <t>0.73%</t>
  </si>
  <si>
    <t>$2.72M</t>
  </si>
  <si>
    <t>2.76K</t>
  </si>
  <si>
    <t>Tharwa</t>
  </si>
  <si>
    <t>TRWA</t>
  </si>
  <si>
    <t>$0.0002245</t>
  </si>
  <si>
    <t>$92.51K</t>
  </si>
  <si>
    <t>7B</t>
  </si>
  <si>
    <t>donotfomoew</t>
  </si>
  <si>
    <t>MOEW</t>
  </si>
  <si>
    <t>$0.0002521</t>
  </si>
  <si>
    <t>$1.56M</t>
  </si>
  <si>
    <t>$366.02K</t>
  </si>
  <si>
    <t>6.19B</t>
  </si>
  <si>
    <t>GALAXIA</t>
  </si>
  <si>
    <t>GXA</t>
  </si>
  <si>
    <t>$0.0006172</t>
  </si>
  <si>
    <t>2.05%</t>
  </si>
  <si>
    <t>$1.55M</t>
  </si>
  <si>
    <t>$20.64K</t>
  </si>
  <si>
    <t>2.51B</t>
  </si>
  <si>
    <t>ZClassic</t>
  </si>
  <si>
    <t>ZCL</t>
  </si>
  <si>
    <t>$0.1393</t>
  </si>
  <si>
    <t>1.35%</t>
  </si>
  <si>
    <t>$1.29M</t>
  </si>
  <si>
    <t>9.28M</t>
  </si>
  <si>
    <t>Tenset</t>
  </si>
  <si>
    <t>10SET</t>
  </si>
  <si>
    <t>$0.009256</t>
  </si>
  <si>
    <t>$122.73K</t>
  </si>
  <si>
    <t>139.77M</t>
  </si>
  <si>
    <t>Metacade</t>
  </si>
  <si>
    <t>MCADE</t>
  </si>
  <si>
    <t>$0.0007988</t>
  </si>
  <si>
    <t>$111.66K</t>
  </si>
  <si>
    <t>1.61B</t>
  </si>
  <si>
    <t>Adappter Token</t>
  </si>
  <si>
    <t>ADP</t>
  </si>
  <si>
    <t>$0.0002752</t>
  </si>
  <si>
    <t>1.06%</t>
  </si>
  <si>
    <t>$11.41K</t>
  </si>
  <si>
    <t>4.68B</t>
  </si>
  <si>
    <t>Baidu Tokenized Stock (Ondo)</t>
  </si>
  <si>
    <t>BIDUon</t>
  </si>
  <si>
    <t>$108.69</t>
  </si>
  <si>
    <t>$938.76K</t>
  </si>
  <si>
    <t>11.86K</t>
  </si>
  <si>
    <t>Kori The Pom</t>
  </si>
  <si>
    <t>KORI</t>
  </si>
  <si>
    <t>$0.001286</t>
  </si>
  <si>
    <t>$33.77K</t>
  </si>
  <si>
    <t>Wells Fargo Tokenized Stock (Ondo)</t>
  </si>
  <si>
    <t>WFCon</t>
  </si>
  <si>
    <t>$85.30</t>
  </si>
  <si>
    <t>$273.94K</t>
  </si>
  <si>
    <t>15.05K</t>
  </si>
  <si>
    <t>Scallop</t>
  </si>
  <si>
    <t>SCA</t>
  </si>
  <si>
    <t>$0.007955</t>
  </si>
  <si>
    <t>$1.27M</t>
  </si>
  <si>
    <t>$834.21K</t>
  </si>
  <si>
    <t>160.84M</t>
  </si>
  <si>
    <t>ShibaDoge</t>
  </si>
  <si>
    <t>SHIBDOGE</t>
  </si>
  <si>
    <t>$0.0161026</t>
  </si>
  <si>
    <t>$345.36</t>
  </si>
  <si>
    <t>124,602.47E</t>
  </si>
  <si>
    <t>Netflix tokenized stock (xStock)</t>
  </si>
  <si>
    <t>NFLXX</t>
  </si>
  <si>
    <t>$72.87</t>
  </si>
  <si>
    <t>$135.9K</t>
  </si>
  <si>
    <t>17.53K</t>
  </si>
  <si>
    <t>RENEC</t>
  </si>
  <si>
    <t>$0.03546</t>
  </si>
  <si>
    <t>35.89M</t>
  </si>
  <si>
    <t>POOH</t>
  </si>
  <si>
    <t>$0.083020</t>
  </si>
  <si>
    <t>1.26%</t>
  </si>
  <si>
    <t>$3.84K</t>
  </si>
  <si>
    <t>420.69T</t>
  </si>
  <si>
    <t>GemHUB</t>
  </si>
  <si>
    <t>GHUB</t>
  </si>
  <si>
    <t>$0.002527</t>
  </si>
  <si>
    <t>$94.55K</t>
  </si>
  <si>
    <t>503.18M</t>
  </si>
  <si>
    <t>DerivaDAO</t>
  </si>
  <si>
    <t>DDX</t>
  </si>
  <si>
    <t>$0.04858</t>
  </si>
  <si>
    <t>$1.26M</t>
  </si>
  <si>
    <t>$5.87</t>
  </si>
  <si>
    <t>26.09M</t>
  </si>
  <si>
    <t>Tottenham Hotspur Fan Token</t>
  </si>
  <si>
    <t>SPURS</t>
  </si>
  <si>
    <t>$0.09617</t>
  </si>
  <si>
    <t>$67.32K</t>
  </si>
  <si>
    <t>13.17M</t>
  </si>
  <si>
    <t>Prosper</t>
  </si>
  <si>
    <t>PROS</t>
  </si>
  <si>
    <t>$0.02100</t>
  </si>
  <si>
    <t>$1.07M</t>
  </si>
  <si>
    <t>$56.39K</t>
  </si>
  <si>
    <t>51.39M</t>
  </si>
  <si>
    <t>Mistery On Cro</t>
  </si>
  <si>
    <t>MERY</t>
  </si>
  <si>
    <t>$0.052630</t>
  </si>
  <si>
    <t>0.53%</t>
  </si>
  <si>
    <t>$1.32K</t>
  </si>
  <si>
    <t>410.27B</t>
  </si>
  <si>
    <t>McDonald's tokenized stock (xStock)</t>
  </si>
  <si>
    <t>MCDX</t>
  </si>
  <si>
    <t>$270.05</t>
  </si>
  <si>
    <t>$3.65M</t>
  </si>
  <si>
    <t>3.99K</t>
  </si>
  <si>
    <t>UNCX Network</t>
  </si>
  <si>
    <t>UNCX</t>
  </si>
  <si>
    <t>$22.95</t>
  </si>
  <si>
    <t>$74.87K</t>
  </si>
  <si>
    <t>46.64K</t>
  </si>
  <si>
    <t>NuNet</t>
  </si>
  <si>
    <t>NTX</t>
  </si>
  <si>
    <t>$0.002122</t>
  </si>
  <si>
    <t>$129.78K</t>
  </si>
  <si>
    <t>504.08M</t>
  </si>
  <si>
    <t>Zyfai</t>
  </si>
  <si>
    <t>ZFI</t>
  </si>
  <si>
    <t>$0.005742</t>
  </si>
  <si>
    <t>3.42%</t>
  </si>
  <si>
    <t>$13.74K</t>
  </si>
  <si>
    <t>185.93M</t>
  </si>
  <si>
    <t>Radiant</t>
  </si>
  <si>
    <t>RXD</t>
  </si>
  <si>
    <t>$0.00006594</t>
  </si>
  <si>
    <t>$53.83K</t>
  </si>
  <si>
    <t>15.9B</t>
  </si>
  <si>
    <t>LayerX</t>
  </si>
  <si>
    <t>LX</t>
  </si>
  <si>
    <t>$0.0001061</t>
  </si>
  <si>
    <t>Bitmine Tokenised Stock (xStock)</t>
  </si>
  <si>
    <t>BMNRx</t>
  </si>
  <si>
    <t>$17.85</t>
  </si>
  <si>
    <t>$162.76K</t>
  </si>
  <si>
    <t>59.48K</t>
  </si>
  <si>
    <t>GameFi.org</t>
  </si>
  <si>
    <t>GAFI</t>
  </si>
  <si>
    <t>$0.07062</t>
  </si>
  <si>
    <t>$1.05M</t>
  </si>
  <si>
    <t>$92.99K</t>
  </si>
  <si>
    <t>14.95M</t>
  </si>
  <si>
    <t>Hoppy (hoppy.vip)</t>
  </si>
  <si>
    <t>HOPPY</t>
  </si>
  <si>
    <t>$0.052513</t>
  </si>
  <si>
    <t>$41.11K</t>
  </si>
  <si>
    <t>420.69B</t>
  </si>
  <si>
    <t>Portugal National Team Fan Token</t>
  </si>
  <si>
    <t>POR</t>
  </si>
  <si>
    <t>$0.07930</t>
  </si>
  <si>
    <t>$248.07K</t>
  </si>
  <si>
    <t>13.18M</t>
  </si>
  <si>
    <t>Pirate Nation</t>
  </si>
  <si>
    <t>PIRATE</t>
  </si>
  <si>
    <t>$0.001446</t>
  </si>
  <si>
    <t>1.36%</t>
  </si>
  <si>
    <t>$1.03M</t>
  </si>
  <si>
    <t>$168.41K</t>
  </si>
  <si>
    <t>718.01M</t>
  </si>
  <si>
    <t>Saito</t>
  </si>
  <si>
    <t>SAITO</t>
  </si>
  <si>
    <t>$0.0005247</t>
  </si>
  <si>
    <t>0.28%</t>
  </si>
  <si>
    <t>$56.28K</t>
  </si>
  <si>
    <t>BeB</t>
  </si>
  <si>
    <t>BEB1M</t>
  </si>
  <si>
    <t>$0.001037</t>
  </si>
  <si>
    <t>$11.07K</t>
  </si>
  <si>
    <t>999.72M</t>
  </si>
  <si>
    <t>Chickencoin</t>
  </si>
  <si>
    <t>CHKN</t>
  </si>
  <si>
    <t>$0.071371</t>
  </si>
  <si>
    <t>$881.08K</t>
  </si>
  <si>
    <t>64.23T</t>
  </si>
  <si>
    <t>CatSlap</t>
  </si>
  <si>
    <t>SLAP</t>
  </si>
  <si>
    <t>$0.0002014</t>
  </si>
  <si>
    <t>$880.5K</t>
  </si>
  <si>
    <t>4.37B</t>
  </si>
  <si>
    <t>Rocket Lab Tokenized bStocks</t>
  </si>
  <si>
    <t>RKLBB</t>
  </si>
  <si>
    <t>$66.81</t>
  </si>
  <si>
    <t>$878.45K</t>
  </si>
  <si>
    <t>13.14K</t>
  </si>
  <si>
    <t>ICHI</t>
  </si>
  <si>
    <t>$0.09343</t>
  </si>
  <si>
    <t>$876.32K</t>
  </si>
  <si>
    <t>9.37M</t>
  </si>
  <si>
    <t>Komodo</t>
  </si>
  <si>
    <t>KMD</t>
  </si>
  <si>
    <t>$0.006445</t>
  </si>
  <si>
    <t>$1K</t>
  </si>
  <si>
    <t>135.95M</t>
  </si>
  <si>
    <t>Samoyedcoin</t>
  </si>
  <si>
    <t>SAMO</t>
  </si>
  <si>
    <t>$0.0002391</t>
  </si>
  <si>
    <t>$874.5K</t>
  </si>
  <si>
    <t>$14.29K</t>
  </si>
  <si>
    <t>3.65B</t>
  </si>
  <si>
    <t>Openverse Network</t>
  </si>
  <si>
    <t>BTG</t>
  </si>
  <si>
    <t>$0.4586</t>
  </si>
  <si>
    <t>$871.34K</t>
  </si>
  <si>
    <t>$90.04K</t>
  </si>
  <si>
    <t>1.9M</t>
  </si>
  <si>
    <t>Kima Network</t>
  </si>
  <si>
    <t>KIMA</t>
  </si>
  <si>
    <t>$0.004173</t>
  </si>
  <si>
    <t>13.07%</t>
  </si>
  <si>
    <t>$870.84K</t>
  </si>
  <si>
    <t>$1.37K</t>
  </si>
  <si>
    <t>208.64M</t>
  </si>
  <si>
    <t>Bloom Energy Tokenized Stock (Ondo)</t>
  </si>
  <si>
    <t>BEon</t>
  </si>
  <si>
    <t>$226.51</t>
  </si>
  <si>
    <t>$867.34K</t>
  </si>
  <si>
    <t>$396.12K</t>
  </si>
  <si>
    <t>3.82K</t>
  </si>
  <si>
    <t>Piggycell</t>
  </si>
  <si>
    <t>PIGGY</t>
  </si>
  <si>
    <t>$0.01783</t>
  </si>
  <si>
    <t>$867.08K</t>
  </si>
  <si>
    <t>$74.25K</t>
  </si>
  <si>
    <t>48.6M</t>
  </si>
  <si>
    <t>Echelon (EchelonMarket)</t>
  </si>
  <si>
    <t>ELON</t>
  </si>
  <si>
    <t>$0.06401</t>
  </si>
  <si>
    <t>3.78%</t>
  </si>
  <si>
    <t>$864.21K</t>
  </si>
  <si>
    <t>$235.26K</t>
  </si>
  <si>
    <t>13.5M</t>
  </si>
  <si>
    <t>Sportbet.one Token</t>
  </si>
  <si>
    <t>SBET</t>
  </si>
  <si>
    <t>$0.006864</t>
  </si>
  <si>
    <t>$865.7K</t>
  </si>
  <si>
    <t>$77.55K</t>
  </si>
  <si>
    <t>126.12M</t>
  </si>
  <si>
    <t>Reality Metaverse</t>
  </si>
  <si>
    <t>RMV</t>
  </si>
  <si>
    <t>$0.003462</t>
  </si>
  <si>
    <t>$865.21K</t>
  </si>
  <si>
    <t>$69.25K</t>
  </si>
  <si>
    <t>249.89M</t>
  </si>
  <si>
    <t>Netflix Tokenized Stock (Ondo)</t>
  </si>
  <si>
    <t>NFLXon</t>
  </si>
  <si>
    <t>$728.28</t>
  </si>
  <si>
    <t>$863.85K</t>
  </si>
  <si>
    <t>$2.09M</t>
  </si>
  <si>
    <t>1.18K</t>
  </si>
  <si>
    <t>Exxon Mobil tokenized stock (xStock)</t>
  </si>
  <si>
    <t>XOMX</t>
  </si>
  <si>
    <t>$152.80</t>
  </si>
  <si>
    <t>$859.5K</t>
  </si>
  <si>
    <t>$559.89</t>
  </si>
  <si>
    <t>5.62K</t>
  </si>
  <si>
    <t>Market Cap $</t>
  </si>
  <si>
    <t>Volume (24h) USD $</t>
  </si>
  <si>
    <t>Curculating Supply $</t>
  </si>
  <si>
    <t>6.16M</t>
  </si>
  <si>
    <t>1.52M</t>
  </si>
  <si>
    <t>1.29T</t>
  </si>
  <si>
    <t>26.76B</t>
  </si>
  <si>
    <t>229.89B</t>
  </si>
  <si>
    <t>8.1B</t>
  </si>
  <si>
    <t>183.62B</t>
  </si>
  <si>
    <t>51.6B</t>
  </si>
  <si>
    <t>78.7B</t>
  </si>
  <si>
    <t>1.37B</t>
  </si>
  <si>
    <t>71.88B</t>
  </si>
  <si>
    <t>8.65B</t>
  </si>
  <si>
    <t>67.61B</t>
  </si>
  <si>
    <t>1.02B</t>
  </si>
  <si>
    <t>43.05B</t>
  </si>
  <si>
    <t>1.57B</t>
  </si>
  <si>
    <t>31.17B</t>
  </si>
  <si>
    <t>439.71M</t>
  </si>
  <si>
    <t>14.02B</t>
  </si>
  <si>
    <t>375.47M</t>
  </si>
  <si>
    <t>10.88B</t>
  </si>
  <si>
    <t>498.53M</t>
  </si>
  <si>
    <t>173.46K</t>
  </si>
  <si>
    <t>7.75B</t>
  </si>
  <si>
    <t>292.67M</t>
  </si>
  <si>
    <t>6.64B</t>
  </si>
  <si>
    <t>103.23M</t>
  </si>
  <si>
    <t>6.25B</t>
  </si>
  <si>
    <t>208.38M</t>
  </si>
  <si>
    <t>276.99M</t>
  </si>
  <si>
    <t>116.25M</t>
  </si>
  <si>
    <t>266.79M</t>
  </si>
  <si>
    <t>21.96M</t>
  </si>
  <si>
    <t>263.98M</t>
  </si>
  <si>
    <t>5.86M</t>
  </si>
  <si>
    <t>258.46M</t>
  </si>
  <si>
    <t>4.23M</t>
  </si>
  <si>
    <t>257.9M</t>
  </si>
  <si>
    <t>27.69M</t>
  </si>
  <si>
    <t>251.19M</t>
  </si>
  <si>
    <t>5.3M</t>
  </si>
  <si>
    <t>250.73M</t>
  </si>
  <si>
    <t>7.6M</t>
  </si>
  <si>
    <t>250.43M</t>
  </si>
  <si>
    <t>14.97M</t>
  </si>
  <si>
    <t>250.23M</t>
  </si>
  <si>
    <t>30.42M</t>
  </si>
  <si>
    <t>244.25M</t>
  </si>
  <si>
    <t>24.69M</t>
  </si>
  <si>
    <t>239.58M</t>
  </si>
  <si>
    <t>33.71M</t>
  </si>
  <si>
    <t>239.47M</t>
  </si>
  <si>
    <t>4.53M</t>
  </si>
  <si>
    <t>222.83M</t>
  </si>
  <si>
    <t>4.44M</t>
  </si>
  <si>
    <t>215.37M</t>
  </si>
  <si>
    <t>8.59M</t>
  </si>
  <si>
    <t>215.04M</t>
  </si>
  <si>
    <t>6.61M</t>
  </si>
  <si>
    <t>9.12B</t>
  </si>
  <si>
    <t>29.51M</t>
  </si>
  <si>
    <t>8.29B</t>
  </si>
  <si>
    <t>242.05K</t>
  </si>
  <si>
    <t>2.15B</t>
  </si>
  <si>
    <t>467.84K</t>
  </si>
  <si>
    <t>46.15M</t>
  </si>
  <si>
    <t>1.25B</t>
  </si>
  <si>
    <t>542.98K</t>
  </si>
  <si>
    <t>17.1M</t>
  </si>
  <si>
    <t>872.04M</t>
  </si>
  <si>
    <t>14.76M</t>
  </si>
  <si>
    <t>808.54M</t>
  </si>
  <si>
    <t>1.89M</t>
  </si>
  <si>
    <t>650.92M</t>
  </si>
  <si>
    <t>11.89M</t>
  </si>
  <si>
    <t>647.93M</t>
  </si>
  <si>
    <t>367.72K</t>
  </si>
  <si>
    <t>524.71M</t>
  </si>
  <si>
    <t>41.45M</t>
  </si>
  <si>
    <t>404.58M</t>
  </si>
  <si>
    <t>14.5M</t>
  </si>
  <si>
    <t>266.07M</t>
  </si>
  <si>
    <t>740.5</t>
  </si>
  <si>
    <t>58.55M</t>
  </si>
  <si>
    <t>915K</t>
  </si>
  <si>
    <t>58.47M</t>
  </si>
  <si>
    <t>1.99M</t>
  </si>
  <si>
    <t>58.37M</t>
  </si>
  <si>
    <t>2.36M</t>
  </si>
  <si>
    <t>57.85M</t>
  </si>
  <si>
    <t>38.84M</t>
  </si>
  <si>
    <t>57.06M</t>
  </si>
  <si>
    <t>4.63M</t>
  </si>
  <si>
    <t>56.95M</t>
  </si>
  <si>
    <t>10.61M</t>
  </si>
  <si>
    <t>56.9M</t>
  </si>
  <si>
    <t>1.1M</t>
  </si>
  <si>
    <t>56.69M</t>
  </si>
  <si>
    <t>3.41M</t>
  </si>
  <si>
    <t>55.99M</t>
  </si>
  <si>
    <t>34.68M</t>
  </si>
  <si>
    <t>55.42M</t>
  </si>
  <si>
    <t>2.17M</t>
  </si>
  <si>
    <t>55.38M</t>
  </si>
  <si>
    <t>54.38M</t>
  </si>
  <si>
    <t>256.25K</t>
  </si>
  <si>
    <t>54.09M</t>
  </si>
  <si>
    <t>371M</t>
  </si>
  <si>
    <t>54.12M</t>
  </si>
  <si>
    <t>2.21M</t>
  </si>
  <si>
    <t>54M</t>
  </si>
  <si>
    <t>1.94M</t>
  </si>
  <si>
    <t>39.04M</t>
  </si>
  <si>
    <t>2.61M</t>
  </si>
  <si>
    <t>39.01M</t>
  </si>
  <si>
    <t>6.96M</t>
  </si>
  <si>
    <t>38.95M</t>
  </si>
  <si>
    <t>4.71M</t>
  </si>
  <si>
    <t>38.89M</t>
  </si>
  <si>
    <t>4.65M</t>
  </si>
  <si>
    <t>38.77M</t>
  </si>
  <si>
    <t>4.41M</t>
  </si>
  <si>
    <t>38.62M</t>
  </si>
  <si>
    <t>6.78M</t>
  </si>
  <si>
    <t>38.58M</t>
  </si>
  <si>
    <t>737.22K</t>
  </si>
  <si>
    <t>38.29M</t>
  </si>
  <si>
    <t>581.1K</t>
  </si>
  <si>
    <t>38.25M</t>
  </si>
  <si>
    <t>438.76K</t>
  </si>
  <si>
    <t>37.92M</t>
  </si>
  <si>
    <t>1.2M</t>
  </si>
  <si>
    <t>37.87M</t>
  </si>
  <si>
    <t>6.65M</t>
  </si>
  <si>
    <t>2.38M</t>
  </si>
  <si>
    <t>769.59K</t>
  </si>
  <si>
    <t>37.74M</t>
  </si>
  <si>
    <t>6.52M</t>
  </si>
  <si>
    <t>37.47M</t>
  </si>
  <si>
    <t>28.63M</t>
  </si>
  <si>
    <t>2M</t>
  </si>
  <si>
    <t>28.54M</t>
  </si>
  <si>
    <t>2.23M</t>
  </si>
  <si>
    <t>28.47M</t>
  </si>
  <si>
    <t>643.2M</t>
  </si>
  <si>
    <t>28.35M</t>
  </si>
  <si>
    <t>2.9M</t>
  </si>
  <si>
    <t>28.31M</t>
  </si>
  <si>
    <t>170.25K</t>
  </si>
  <si>
    <t>28.24M</t>
  </si>
  <si>
    <t>2.3M</t>
  </si>
  <si>
    <t>28.05M</t>
  </si>
  <si>
    <t>8.4M</t>
  </si>
  <si>
    <t>28M</t>
  </si>
  <si>
    <t>27.98M</t>
  </si>
  <si>
    <t>16.03M</t>
  </si>
  <si>
    <t>27.8M</t>
  </si>
  <si>
    <t>1.71M</t>
  </si>
  <si>
    <t>27.79M</t>
  </si>
  <si>
    <t>2.19M</t>
  </si>
  <si>
    <t>27.76M</t>
  </si>
  <si>
    <t>42.75M</t>
  </si>
  <si>
    <t>27.7M</t>
  </si>
  <si>
    <t>1.33M</t>
  </si>
  <si>
    <t>27.6M</t>
  </si>
  <si>
    <t>12.9M</t>
  </si>
  <si>
    <t>20.94M</t>
  </si>
  <si>
    <t>20.9M</t>
  </si>
  <si>
    <t>3.91M</t>
  </si>
  <si>
    <t>20.85M</t>
  </si>
  <si>
    <t>171.39K</t>
  </si>
  <si>
    <t>20.84M</t>
  </si>
  <si>
    <t>1.59M</t>
  </si>
  <si>
    <t>20.73M</t>
  </si>
  <si>
    <t>768.36K</t>
  </si>
  <si>
    <t>20.72M</t>
  </si>
  <si>
    <t>6.68M</t>
  </si>
  <si>
    <t>20.63M</t>
  </si>
  <si>
    <t>2.49M</t>
  </si>
  <si>
    <t>20.45M</t>
  </si>
  <si>
    <t>1M</t>
  </si>
  <si>
    <t>20.43M</t>
  </si>
  <si>
    <t>2.41M</t>
  </si>
  <si>
    <t>20.33M</t>
  </si>
  <si>
    <t>2.44M</t>
  </si>
  <si>
    <t>20.31M</t>
  </si>
  <si>
    <t>492.3K</t>
  </si>
  <si>
    <t>3.26M</t>
  </si>
  <si>
    <t>20.28M</t>
  </si>
  <si>
    <t>131.99K</t>
  </si>
  <si>
    <t>20.26M</t>
  </si>
  <si>
    <t>8.57M</t>
  </si>
  <si>
    <t>27.59K</t>
  </si>
  <si>
    <t>16.14M</t>
  </si>
  <si>
    <t>3.28M</t>
  </si>
  <si>
    <t>16.02M</t>
  </si>
  <si>
    <t>1.15M</t>
  </si>
  <si>
    <t>80.73</t>
  </si>
  <si>
    <t>2.89M</t>
  </si>
  <si>
    <t>15.97M</t>
  </si>
  <si>
    <t>466.54K</t>
  </si>
  <si>
    <t>15.95M</t>
  </si>
  <si>
    <t>4.69M</t>
  </si>
  <si>
    <t>15.93M</t>
  </si>
  <si>
    <t>103.18K</t>
  </si>
  <si>
    <t>15.89M</t>
  </si>
  <si>
    <t>2.73M</t>
  </si>
  <si>
    <t>15.88M</t>
  </si>
  <si>
    <t>1.81M</t>
  </si>
  <si>
    <t>15.87M</t>
  </si>
  <si>
    <t>2.97M</t>
  </si>
  <si>
    <t>15.81M</t>
  </si>
  <si>
    <t>14.99K</t>
  </si>
  <si>
    <t>15.73M</t>
  </si>
  <si>
    <t>6.13K</t>
  </si>
  <si>
    <t>15.66M</t>
  </si>
  <si>
    <t>15.67M</t>
  </si>
  <si>
    <t>7.35M</t>
  </si>
  <si>
    <t>15.59M</t>
  </si>
  <si>
    <t>1.58M</t>
  </si>
  <si>
    <t>12.05M</t>
  </si>
  <si>
    <t>3M</t>
  </si>
  <si>
    <t>3.17M</t>
  </si>
  <si>
    <t>12.01M</t>
  </si>
  <si>
    <t>2.26M</t>
  </si>
  <si>
    <t>3.53M</t>
  </si>
  <si>
    <t>11.98M</t>
  </si>
  <si>
    <t>1.05K</t>
  </si>
  <si>
    <t>11.97M</t>
  </si>
  <si>
    <t>11.93M</t>
  </si>
  <si>
    <t>296.41K</t>
  </si>
  <si>
    <t>11.86M</t>
  </si>
  <si>
    <t>2.16M</t>
  </si>
  <si>
    <t>11.77M</t>
  </si>
  <si>
    <t>523.62K</t>
  </si>
  <si>
    <t>11.69M</t>
  </si>
  <si>
    <t>1.93M</t>
  </si>
  <si>
    <t>71.96K</t>
  </si>
  <si>
    <t>2.67M</t>
  </si>
  <si>
    <t>11.67M</t>
  </si>
  <si>
    <t>13.38M</t>
  </si>
  <si>
    <t>9.36M</t>
  </si>
  <si>
    <t>1.35M</t>
  </si>
  <si>
    <t>389.06K</t>
  </si>
  <si>
    <t>9.31M</t>
  </si>
  <si>
    <t>1.17M</t>
  </si>
  <si>
    <t>9.3M</t>
  </si>
  <si>
    <t>3.64M</t>
  </si>
  <si>
    <t>9.25M</t>
  </si>
  <si>
    <t>2.48M</t>
  </si>
  <si>
    <t>51.22M</t>
  </si>
  <si>
    <t>804.79K</t>
  </si>
  <si>
    <t>9.2M</t>
  </si>
  <si>
    <t>353.41K</t>
  </si>
  <si>
    <t>9.17M</t>
  </si>
  <si>
    <t>9.13M</t>
  </si>
  <si>
    <t>1.06M</t>
  </si>
  <si>
    <t>9.1M</t>
  </si>
  <si>
    <t>227.09K</t>
  </si>
  <si>
    <t>9.09M</t>
  </si>
  <si>
    <t>159.18K</t>
  </si>
  <si>
    <t>3.45M</t>
  </si>
  <si>
    <t>491.84K</t>
  </si>
  <si>
    <t>8.78M</t>
  </si>
  <si>
    <t>4.42M</t>
  </si>
  <si>
    <t>7.42M</t>
  </si>
  <si>
    <t>3.92M</t>
  </si>
  <si>
    <t>7.41M</t>
  </si>
  <si>
    <t>883.55K</t>
  </si>
  <si>
    <t>7.4M</t>
  </si>
  <si>
    <t>1.08M</t>
  </si>
  <si>
    <t>7.39M</t>
  </si>
  <si>
    <t>459.41K</t>
  </si>
  <si>
    <t>7.37M</t>
  </si>
  <si>
    <t>477.96K</t>
  </si>
  <si>
    <t>7.36M</t>
  </si>
  <si>
    <t>50.84M</t>
  </si>
  <si>
    <t>7.33M</t>
  </si>
  <si>
    <t>9.81M</t>
  </si>
  <si>
    <t>7.29M</t>
  </si>
  <si>
    <t>522.05K</t>
  </si>
  <si>
    <t>7.27M</t>
  </si>
  <si>
    <t>290.16K</t>
  </si>
  <si>
    <t>6.18M</t>
  </si>
  <si>
    <t>7.26M</t>
  </si>
  <si>
    <t>7.24M</t>
  </si>
  <si>
    <t>1.28M</t>
  </si>
  <si>
    <t>7.2M</t>
  </si>
  <si>
    <t>5.71M</t>
  </si>
  <si>
    <t>786.16K</t>
  </si>
  <si>
    <t>5.7M</t>
  </si>
  <si>
    <t>228.13K</t>
  </si>
  <si>
    <t>5.68M</t>
  </si>
  <si>
    <t>869.13K</t>
  </si>
  <si>
    <t>540.34K</t>
  </si>
  <si>
    <t>5.67M</t>
  </si>
  <si>
    <t>237.94K</t>
  </si>
  <si>
    <t>5.64M</t>
  </si>
  <si>
    <t>210.42K</t>
  </si>
  <si>
    <t>1.92M</t>
  </si>
  <si>
    <t>5.63M</t>
  </si>
  <si>
    <t>1.51M</t>
  </si>
  <si>
    <t>5.6M</t>
  </si>
  <si>
    <t>1.04M</t>
  </si>
  <si>
    <t>5.59M</t>
  </si>
  <si>
    <t>129.08K</t>
  </si>
  <si>
    <t>5.09M</t>
  </si>
  <si>
    <t>5.57M</t>
  </si>
  <si>
    <t>189.85K</t>
  </si>
  <si>
    <t>115.13</t>
  </si>
  <si>
    <t>4.4M</t>
  </si>
  <si>
    <t>658.73K</t>
  </si>
  <si>
    <t>4.39M</t>
  </si>
  <si>
    <t>174.45K</t>
  </si>
  <si>
    <t>4.37M</t>
  </si>
  <si>
    <t>4.36M</t>
  </si>
  <si>
    <t>35.62K</t>
  </si>
  <si>
    <t>4.31M</t>
  </si>
  <si>
    <t>160.25K</t>
  </si>
  <si>
    <t>4.24M</t>
  </si>
  <si>
    <t>118.44K</t>
  </si>
  <si>
    <t>4.3M</t>
  </si>
  <si>
    <t>784.69K</t>
  </si>
  <si>
    <t>4.27M</t>
  </si>
  <si>
    <t>23.94</t>
  </si>
  <si>
    <t>817.57K</t>
  </si>
  <si>
    <t>1.31M</t>
  </si>
  <si>
    <t>1.01K</t>
  </si>
  <si>
    <t>4.26M</t>
  </si>
  <si>
    <t>1.9K</t>
  </si>
  <si>
    <t>3.4M</t>
  </si>
  <si>
    <t>2.52K</t>
  </si>
  <si>
    <t>3.38M</t>
  </si>
  <si>
    <t>145.85K</t>
  </si>
  <si>
    <t>3.36M</t>
  </si>
  <si>
    <t>8.92K</t>
  </si>
  <si>
    <t>3.35M</t>
  </si>
  <si>
    <t>16.16M</t>
  </si>
  <si>
    <t>120.34K</t>
  </si>
  <si>
    <t>3.34M</t>
  </si>
  <si>
    <t>231.73K</t>
  </si>
  <si>
    <t>242.53K</t>
  </si>
  <si>
    <t>3.33M</t>
  </si>
  <si>
    <t>8.07K</t>
  </si>
  <si>
    <t>3.97K</t>
  </si>
  <si>
    <t>3.32M</t>
  </si>
  <si>
    <t>27.64K</t>
  </si>
  <si>
    <t>3.31M</t>
  </si>
  <si>
    <t>176.18K</t>
  </si>
  <si>
    <t>239.95</t>
  </si>
  <si>
    <t>37.1K</t>
  </si>
  <si>
    <t>3.29M</t>
  </si>
  <si>
    <t>447.37K</t>
  </si>
  <si>
    <t>103.07K</t>
  </si>
  <si>
    <t>2.64M</t>
  </si>
  <si>
    <t>16.67K</t>
  </si>
  <si>
    <t>2.62M</t>
  </si>
  <si>
    <t>1.38M</t>
  </si>
  <si>
    <t>721.8K</t>
  </si>
  <si>
    <t>134.02K</t>
  </si>
  <si>
    <t>187.55K</t>
  </si>
  <si>
    <t>2.6M</t>
  </si>
  <si>
    <t>489.01K</t>
  </si>
  <si>
    <t>2.59M</t>
  </si>
  <si>
    <t>26.76K</t>
  </si>
  <si>
    <t>2.58M</t>
  </si>
  <si>
    <t>84.79K</t>
  </si>
  <si>
    <t>446.67K</t>
  </si>
  <si>
    <t>1.17K</t>
  </si>
  <si>
    <t>2.57M</t>
  </si>
  <si>
    <t>765.65K</t>
  </si>
  <si>
    <t>1.39M</t>
  </si>
  <si>
    <t>130.43K</t>
  </si>
  <si>
    <t>2.03M</t>
  </si>
  <si>
    <t>284.19K</t>
  </si>
  <si>
    <t>75.45K</t>
  </si>
  <si>
    <t>28.22K</t>
  </si>
  <si>
    <t>2.01M</t>
  </si>
  <si>
    <t>1.67M</t>
  </si>
  <si>
    <t>2.02M</t>
  </si>
  <si>
    <t>76.42K</t>
  </si>
  <si>
    <t>323.67K</t>
  </si>
  <si>
    <t>133.47K</t>
  </si>
  <si>
    <t>1.98M</t>
  </si>
  <si>
    <t>7.24K</t>
  </si>
  <si>
    <t>1.97M</t>
  </si>
  <si>
    <t>307.54K</t>
  </si>
  <si>
    <t>62.36K</t>
  </si>
  <si>
    <t>1.86K</t>
  </si>
  <si>
    <t>2.77M</t>
  </si>
  <si>
    <t>226.33K</t>
  </si>
  <si>
    <t>108.79K</t>
  </si>
  <si>
    <t>610.25K</t>
  </si>
  <si>
    <t>110.02K</t>
  </si>
  <si>
    <t>163.88</t>
  </si>
  <si>
    <t>14.39K</t>
  </si>
  <si>
    <t>1.57M</t>
  </si>
  <si>
    <t>209.2K</t>
  </si>
  <si>
    <t>2.72M</t>
  </si>
  <si>
    <t>92.51K</t>
  </si>
  <si>
    <t>1.56M</t>
  </si>
  <si>
    <t>366.02K</t>
  </si>
  <si>
    <t>1.55M</t>
  </si>
  <si>
    <t>20.64K</t>
  </si>
  <si>
    <t>1.29M</t>
  </si>
  <si>
    <t>122.73K</t>
  </si>
  <si>
    <t>111.66K</t>
  </si>
  <si>
    <t>11.41K</t>
  </si>
  <si>
    <t>938.76K</t>
  </si>
  <si>
    <t>33.77K</t>
  </si>
  <si>
    <t>273.94K</t>
  </si>
  <si>
    <t>1.27M</t>
  </si>
  <si>
    <t>834.21K</t>
  </si>
  <si>
    <t>135.9K</t>
  </si>
  <si>
    <t>3.84K</t>
  </si>
  <si>
    <t>94.55K</t>
  </si>
  <si>
    <t>1.26M</t>
  </si>
  <si>
    <t>5.87</t>
  </si>
  <si>
    <t>67.32K</t>
  </si>
  <si>
    <t>1.07M</t>
  </si>
  <si>
    <t>56.39K</t>
  </si>
  <si>
    <t>1.32K</t>
  </si>
  <si>
    <t>3.65M</t>
  </si>
  <si>
    <t>74.87K</t>
  </si>
  <si>
    <t>129.78K</t>
  </si>
  <si>
    <t>13.74K</t>
  </si>
  <si>
    <t>53.83K</t>
  </si>
  <si>
    <t>162.76K</t>
  </si>
  <si>
    <t>1.05M</t>
  </si>
  <si>
    <t>92.99K</t>
  </si>
  <si>
    <t>41.11K</t>
  </si>
  <si>
    <t>248.07K</t>
  </si>
  <si>
    <t>1.03M</t>
  </si>
  <si>
    <t>168.41K</t>
  </si>
  <si>
    <t>56.28K</t>
  </si>
  <si>
    <t>11.07K</t>
  </si>
  <si>
    <t>878.45K</t>
  </si>
  <si>
    <t>876.32K</t>
  </si>
  <si>
    <t>1K</t>
  </si>
  <si>
    <t>874.5K</t>
  </si>
  <si>
    <t>14.29K</t>
  </si>
  <si>
    <t>871.34K</t>
  </si>
  <si>
    <t>90.04K</t>
  </si>
  <si>
    <t>870.84K</t>
  </si>
  <si>
    <t>1.37K</t>
  </si>
  <si>
    <t>867.34K</t>
  </si>
  <si>
    <t>396.12K</t>
  </si>
  <si>
    <t>867.08K</t>
  </si>
  <si>
    <t>74.25K</t>
  </si>
  <si>
    <t>864.21K</t>
  </si>
  <si>
    <t>235.26K</t>
  </si>
  <si>
    <t>865.7K</t>
  </si>
  <si>
    <t>77.55K</t>
  </si>
  <si>
    <t>865.21K</t>
  </si>
  <si>
    <t>69.25K</t>
  </si>
  <si>
    <t>863.85K</t>
  </si>
  <si>
    <t>2.09M</t>
  </si>
  <si>
    <t>859.5K</t>
  </si>
  <si>
    <t>559.89</t>
  </si>
  <si>
    <t>Dollar Volume Per Supply</t>
  </si>
  <si>
    <t>Rank</t>
  </si>
  <si>
    <t>Price Range</t>
  </si>
  <si>
    <t>Grand Total</t>
  </si>
  <si>
    <t xml:space="preserve"> Price (USD)</t>
  </si>
  <si>
    <t>Sum of 1h Change (%)</t>
  </si>
  <si>
    <t xml:space="preserve"> Dollar Volume Per Supply</t>
  </si>
  <si>
    <t>Sum of Market Cap $</t>
  </si>
  <si>
    <t>Others</t>
  </si>
  <si>
    <t>Key Performance Indicator</t>
  </si>
  <si>
    <t>Total Market Capital</t>
  </si>
  <si>
    <t>Total Price of Coins</t>
  </si>
  <si>
    <t>Total Circulating Supply</t>
  </si>
  <si>
    <t>Highest Price Coin</t>
  </si>
  <si>
    <t>Highest Price</t>
  </si>
  <si>
    <t>Sum of Price (USD)</t>
  </si>
  <si>
    <t>Sum of Curculating Supply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</si>
</sst>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vertical="top"/>
    </xf>
    <xf numFmtId="0" fontId="0" fillId="0" borderId="0" xfId="0" applyAlignment="1">
      <alignment horizontal="left" indent="1"/>
    </xf>
    <xf numFmtId="0" fontId="0" fillId="2" borderId="0" xfId="0" applyFill="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D0F6FE"/>
      <color rgb="FF9BEDE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[Crypto_Analysis_Project.xlsx]Pivot_Charts!PivotTable1</c:name>
    <c:fmtId val="0"/>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1600" b="1">
                <a:solidFill>
                  <a:srgbClr val="C00000"/>
                </a:solidFill>
              </a:rPr>
              <a:t>Top</a:t>
            </a:r>
            <a:r>
              <a:rPr lang="en-US" sz="1600" b="1" baseline="0">
                <a:solidFill>
                  <a:srgbClr val="C00000"/>
                </a:solidFill>
              </a:rPr>
              <a:t> 10 Coins by Price</a:t>
            </a:r>
            <a:endParaRPr lang="en-US" sz="1600" b="1">
              <a:solidFill>
                <a:srgbClr val="C00000"/>
              </a:solidFill>
            </a:endParaRPr>
          </a:p>
        </c:rich>
      </c:tx>
      <c:layout>
        <c:manualLayout>
          <c:xMode val="edge"/>
          <c:yMode val="edge"/>
          <c:x val="0.30015266841644794"/>
          <c:y val="6.2464508801817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Bitcoin</c:v>
                </c:pt>
                <c:pt idx="1">
                  <c:v>Ethereum</c:v>
                </c:pt>
                <c:pt idx="2">
                  <c:v>Micron Technology Inc tokenized stock (Backpack)</c:v>
                </c:pt>
                <c:pt idx="3">
                  <c:v>Micron Technology tokenized stock (xStock)</c:v>
                </c:pt>
                <c:pt idx="4">
                  <c:v>Netflix Tokenized Stock (Ondo)</c:v>
                </c:pt>
                <c:pt idx="5">
                  <c:v>OpenAI
Pre-IPO stock (Republic)</c:v>
                </c:pt>
                <c:pt idx="6">
                  <c:v>BNB</c:v>
                </c:pt>
                <c:pt idx="7">
                  <c:v>Lockheed Tokenized Stock (Ondo)</c:v>
                </c:pt>
                <c:pt idx="8">
                  <c:v>Western Digital Tokenized bStocks</c:v>
                </c:pt>
                <c:pt idx="9">
                  <c:v>Meta Tokenized Stock (Reality)</c:v>
                </c:pt>
              </c:strCache>
            </c:strRef>
          </c:cat>
          <c:val>
            <c:numRef>
              <c:f>Pivot_Charts!$B$4:$B$14</c:f>
              <c:numCache>
                <c:formatCode>General</c:formatCode>
                <c:ptCount val="10"/>
                <c:pt idx="0">
                  <c:v>64381.26</c:v>
                </c:pt>
                <c:pt idx="1">
                  <c:v>1908.06</c:v>
                </c:pt>
                <c:pt idx="2">
                  <c:v>920.43</c:v>
                </c:pt>
                <c:pt idx="3">
                  <c:v>918.43</c:v>
                </c:pt>
                <c:pt idx="4">
                  <c:v>728.28</c:v>
                </c:pt>
                <c:pt idx="5">
                  <c:v>698.53</c:v>
                </c:pt>
                <c:pt idx="6">
                  <c:v>591.19000000000005</c:v>
                </c:pt>
                <c:pt idx="7">
                  <c:v>581.11</c:v>
                </c:pt>
                <c:pt idx="8">
                  <c:v>568.13</c:v>
                </c:pt>
                <c:pt idx="9">
                  <c:v>549.42999999999995</c:v>
                </c:pt>
              </c:numCache>
            </c:numRef>
          </c:val>
          <c:extLst>
            <c:ext xmlns:c16="http://schemas.microsoft.com/office/drawing/2014/chart" uri="{C3380CC4-5D6E-409C-BE32-E72D297353CC}">
              <c16:uniqueId val="{00000000-DF0B-417E-80F7-07798037BB6F}"/>
            </c:ext>
          </c:extLst>
        </c:ser>
        <c:dLbls>
          <c:showLegendKey val="0"/>
          <c:showVal val="0"/>
          <c:showCatName val="0"/>
          <c:showSerName val="0"/>
          <c:showPercent val="0"/>
          <c:showBubbleSize val="0"/>
        </c:dLbls>
        <c:gapWidth val="219"/>
        <c:overlap val="-27"/>
        <c:axId val="1287027216"/>
        <c:axId val="1127504816"/>
      </c:barChart>
      <c:catAx>
        <c:axId val="12870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04816"/>
        <c:crosses val="autoZero"/>
        <c:auto val="1"/>
        <c:lblAlgn val="ctr"/>
        <c:lblOffset val="100"/>
        <c:noMultiLvlLbl val="0"/>
      </c:catAx>
      <c:valAx>
        <c:axId val="112750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7000">
          <a:schemeClr val="accent1">
            <a:lumMod val="20000"/>
            <a:lumOff val="80000"/>
          </a:schemeClr>
        </a:gs>
        <a:gs pos="81000">
          <a:schemeClr val="accent1">
            <a:lumMod val="20000"/>
            <a:lumOff val="80000"/>
          </a:schemeClr>
        </a:gs>
        <a:gs pos="98000">
          <a:schemeClr val="accent1">
            <a:lumMod val="60000"/>
            <a:lumOff val="40000"/>
            <a:alpha val="87000"/>
          </a:schemeClr>
        </a:gs>
        <a:gs pos="43000">
          <a:srgbClr val="D0DDED">
            <a:lumMod val="50000"/>
            <a:lumOff val="50000"/>
          </a:srgbClr>
        </a:gs>
      </a:gsLst>
      <a:lin ang="5400000" scaled="1"/>
    </a:gradFill>
    <a:ln w="9525" cap="flat" cmpd="sng" algn="ctr">
      <a:noFill/>
      <a:round/>
    </a:ln>
    <a:effectLst>
      <a:glow rad="63500">
        <a:schemeClr val="accent6">
          <a:satMod val="175000"/>
          <a:alpha val="40000"/>
        </a:schemeClr>
      </a:glow>
      <a:outerShdw blurRad="63500" sx="102000" sy="102000" algn="ctr" rotWithShape="0">
        <a:srgbClr val="FFFF00">
          <a:alpha val="50000"/>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Most</a:t>
            </a:r>
            <a:r>
              <a:rPr lang="en-US" b="1" baseline="0">
                <a:solidFill>
                  <a:srgbClr val="C00000"/>
                </a:solidFill>
              </a:rPr>
              <a:t> Change in 1 hour</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Pivot_Charts!$B$17</c:f>
              <c:strCache>
                <c:ptCount val="1"/>
                <c:pt idx="0">
                  <c:v>Total</c:v>
                </c:pt>
              </c:strCache>
            </c:strRef>
          </c:tx>
          <c:spPr>
            <a:solidFill>
              <a:schemeClr val="accent1"/>
            </a:solidFill>
            <a:ln>
              <a:noFill/>
            </a:ln>
            <a:effectLst/>
            <a:sp3d/>
          </c:spPr>
          <c:invertIfNegative val="0"/>
          <c:cat>
            <c:strRef>
              <c:f>Pivot_Charts!$A$18:$A$28</c:f>
              <c:strCache>
                <c:ptCount val="10"/>
                <c:pt idx="0">
                  <c:v>Cap</c:v>
                </c:pt>
                <c:pt idx="1">
                  <c:v>Echelon (EchelonMarket)</c:v>
                </c:pt>
                <c:pt idx="2">
                  <c:v>Free Joby</c:v>
                </c:pt>
                <c:pt idx="3">
                  <c:v>Giant Mammoth</c:v>
                </c:pt>
                <c:pt idx="4">
                  <c:v>Humans.ai</c:v>
                </c:pt>
                <c:pt idx="5">
                  <c:v>Kima Network</c:v>
                </c:pt>
                <c:pt idx="6">
                  <c:v>Lorenzo Protocol</c:v>
                </c:pt>
                <c:pt idx="7">
                  <c:v>RIZE</c:v>
                </c:pt>
                <c:pt idx="8">
                  <c:v>Zyfai</c:v>
                </c:pt>
                <c:pt idx="9">
                  <c:v>错版马</c:v>
                </c:pt>
              </c:strCache>
            </c:strRef>
          </c:cat>
          <c:val>
            <c:numRef>
              <c:f>Pivot_Charts!$B$18:$B$28</c:f>
              <c:numCache>
                <c:formatCode>General</c:formatCode>
                <c:ptCount val="10"/>
                <c:pt idx="0">
                  <c:v>5.8500000000000003E-2</c:v>
                </c:pt>
                <c:pt idx="1">
                  <c:v>3.78E-2</c:v>
                </c:pt>
                <c:pt idx="2">
                  <c:v>3.9100000000000003E-2</c:v>
                </c:pt>
                <c:pt idx="3">
                  <c:v>3.3099999999999997E-2</c:v>
                </c:pt>
                <c:pt idx="4">
                  <c:v>3.85E-2</c:v>
                </c:pt>
                <c:pt idx="5">
                  <c:v>0.13070000000000001</c:v>
                </c:pt>
                <c:pt idx="6">
                  <c:v>3.8699999999999998E-2</c:v>
                </c:pt>
                <c:pt idx="7">
                  <c:v>0.1012</c:v>
                </c:pt>
                <c:pt idx="8">
                  <c:v>3.4200000000000001E-2</c:v>
                </c:pt>
                <c:pt idx="9">
                  <c:v>2.2599999999999999E-2</c:v>
                </c:pt>
              </c:numCache>
            </c:numRef>
          </c:val>
          <c:extLst>
            <c:ext xmlns:c16="http://schemas.microsoft.com/office/drawing/2014/chart" uri="{C3380CC4-5D6E-409C-BE32-E72D297353CC}">
              <c16:uniqueId val="{00000000-58CD-4265-ACA7-0232EE7D8850}"/>
            </c:ext>
          </c:extLst>
        </c:ser>
        <c:dLbls>
          <c:showLegendKey val="0"/>
          <c:showVal val="0"/>
          <c:showCatName val="0"/>
          <c:showSerName val="0"/>
          <c:showPercent val="0"/>
          <c:showBubbleSize val="0"/>
        </c:dLbls>
        <c:gapWidth val="150"/>
        <c:shape val="box"/>
        <c:axId val="1638114384"/>
        <c:axId val="1264525264"/>
        <c:axId val="0"/>
      </c:bar3DChart>
      <c:catAx>
        <c:axId val="163811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25264"/>
        <c:crosses val="autoZero"/>
        <c:auto val="1"/>
        <c:lblAlgn val="ctr"/>
        <c:lblOffset val="100"/>
        <c:noMultiLvlLbl val="0"/>
      </c:catAx>
      <c:valAx>
        <c:axId val="126452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1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3000">
          <a:schemeClr val="accent1">
            <a:lumMod val="23000"/>
            <a:lumOff val="77000"/>
          </a:schemeClr>
        </a:gs>
        <a:gs pos="81000">
          <a:schemeClr val="accent1">
            <a:lumMod val="20000"/>
            <a:lumOff val="80000"/>
          </a:schemeClr>
        </a:gs>
        <a:gs pos="98000">
          <a:schemeClr val="accent1">
            <a:lumMod val="60000"/>
            <a:lumOff val="40000"/>
            <a:alpha val="87000"/>
          </a:schemeClr>
        </a:gs>
        <a:gs pos="43000">
          <a:srgbClr val="D0DDED">
            <a:lumMod val="50000"/>
            <a:lumOff val="50000"/>
          </a:srgbClr>
        </a:gs>
      </a:gsLst>
      <a:lin ang="5400000" scaled="1"/>
    </a:gradFill>
    <a:ln w="9525" cap="flat" cmpd="sng" algn="ctr">
      <a:noFill/>
      <a:round/>
    </a:ln>
    <a:effectLst>
      <a:glow rad="88900">
        <a:schemeClr val="accent6">
          <a:alpha val="69000"/>
        </a:schemeClr>
      </a:glow>
      <a:outerShdw blurRad="63500" sx="102000" sy="102000" algn="ctr" rotWithShape="0">
        <a:srgbClr val="FFFF00">
          <a:alpha val="4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rPr>
              <a:t>Price</a:t>
            </a:r>
            <a:r>
              <a:rPr lang="en-IN" sz="1600" b="1" baseline="0">
                <a:solidFill>
                  <a:srgbClr val="C00000"/>
                </a:solidFill>
              </a:rPr>
              <a:t> Vs Dollar Supply</a:t>
            </a:r>
            <a:endParaRPr lang="en-IN" sz="16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Pivot_Charts!$B$35</c:f>
              <c:strCache>
                <c:ptCount val="1"/>
                <c:pt idx="0">
                  <c:v> Dollar Volume Per Supply</c:v>
                </c:pt>
              </c:strCache>
            </c:strRef>
          </c:tx>
          <c:spPr>
            <a:solidFill>
              <a:schemeClr val="accent1"/>
            </a:solidFill>
            <a:ln>
              <a:noFill/>
            </a:ln>
            <a:effectLst/>
          </c:spPr>
          <c:invertIfNegative val="0"/>
          <c:cat>
            <c:strRef>
              <c:f>Pivot_Charts!$A$36:$A$46</c:f>
              <c:strCache>
                <c:ptCount val="10"/>
                <c:pt idx="0">
                  <c:v>Apple Tokenized bStocks</c:v>
                </c:pt>
                <c:pt idx="1">
                  <c:v>Bitcoin</c:v>
                </c:pt>
                <c:pt idx="2">
                  <c:v>iShares MSCI South Korea ETF Tokenized bStocks</c:v>
                </c:pt>
                <c:pt idx="3">
                  <c:v>McDonald's tokenized stock (xStock)</c:v>
                </c:pt>
                <c:pt idx="4">
                  <c:v>Micron Technology Inc tokenized stock (Backpack)</c:v>
                </c:pt>
                <c:pt idx="5">
                  <c:v>Micron Technology tokenized stock (xStock)</c:v>
                </c:pt>
                <c:pt idx="6">
                  <c:v>Microsoft Tokenized bStocks</c:v>
                </c:pt>
                <c:pt idx="7">
                  <c:v>Netflix Tokenized Stock (Ondo)</c:v>
                </c:pt>
                <c:pt idx="8">
                  <c:v>SK hynix tokenized stock (xStock)</c:v>
                </c:pt>
                <c:pt idx="9">
                  <c:v>Western Digital Tokenized bStocks</c:v>
                </c:pt>
              </c:strCache>
            </c:strRef>
          </c:cat>
          <c:val>
            <c:numRef>
              <c:f>Pivot_Charts!$B$36:$B$46</c:f>
              <c:numCache>
                <c:formatCode>General</c:formatCode>
                <c:ptCount val="10"/>
                <c:pt idx="0">
                  <c:v>1503.2558139534883</c:v>
                </c:pt>
                <c:pt idx="1">
                  <c:v>1333.9980059820539</c:v>
                </c:pt>
                <c:pt idx="2">
                  <c:v>258.43307943416755</c:v>
                </c:pt>
                <c:pt idx="3">
                  <c:v>914.7869674185464</c:v>
                </c:pt>
                <c:pt idx="4">
                  <c:v>783.26996197718631</c:v>
                </c:pt>
                <c:pt idx="5">
                  <c:v>1053.5433070866143</c:v>
                </c:pt>
                <c:pt idx="6">
                  <c:v>628.11791383219952</c:v>
                </c:pt>
                <c:pt idx="7">
                  <c:v>1771.1864406779659</c:v>
                </c:pt>
                <c:pt idx="8">
                  <c:v>215.74664614031229</c:v>
                </c:pt>
                <c:pt idx="9">
                  <c:v>985.50724637681162</c:v>
                </c:pt>
              </c:numCache>
            </c:numRef>
          </c:val>
          <c:extLst>
            <c:ext xmlns:c16="http://schemas.microsoft.com/office/drawing/2014/chart" uri="{C3380CC4-5D6E-409C-BE32-E72D297353CC}">
              <c16:uniqueId val="{00000000-7BE8-467E-B7BA-E62A6DFE17E1}"/>
            </c:ext>
          </c:extLst>
        </c:ser>
        <c:ser>
          <c:idx val="1"/>
          <c:order val="1"/>
          <c:tx>
            <c:strRef>
              <c:f>Pivot_Charts!$C$35</c:f>
              <c:strCache>
                <c:ptCount val="1"/>
                <c:pt idx="0">
                  <c:v> Price (USD)</c:v>
                </c:pt>
              </c:strCache>
            </c:strRef>
          </c:tx>
          <c:spPr>
            <a:solidFill>
              <a:schemeClr val="accent2"/>
            </a:solidFill>
            <a:ln>
              <a:noFill/>
            </a:ln>
            <a:effectLst/>
          </c:spPr>
          <c:invertIfNegative val="0"/>
          <c:cat>
            <c:strRef>
              <c:f>Pivot_Charts!$A$36:$A$46</c:f>
              <c:strCache>
                <c:ptCount val="10"/>
                <c:pt idx="0">
                  <c:v>Apple Tokenized bStocks</c:v>
                </c:pt>
                <c:pt idx="1">
                  <c:v>Bitcoin</c:v>
                </c:pt>
                <c:pt idx="2">
                  <c:v>iShares MSCI South Korea ETF Tokenized bStocks</c:v>
                </c:pt>
                <c:pt idx="3">
                  <c:v>McDonald's tokenized stock (xStock)</c:v>
                </c:pt>
                <c:pt idx="4">
                  <c:v>Micron Technology Inc tokenized stock (Backpack)</c:v>
                </c:pt>
                <c:pt idx="5">
                  <c:v>Micron Technology tokenized stock (xStock)</c:v>
                </c:pt>
                <c:pt idx="6">
                  <c:v>Microsoft Tokenized bStocks</c:v>
                </c:pt>
                <c:pt idx="7">
                  <c:v>Netflix Tokenized Stock (Ondo)</c:v>
                </c:pt>
                <c:pt idx="8">
                  <c:v>SK hynix tokenized stock (xStock)</c:v>
                </c:pt>
                <c:pt idx="9">
                  <c:v>Western Digital Tokenized bStocks</c:v>
                </c:pt>
              </c:strCache>
            </c:strRef>
          </c:cat>
          <c:val>
            <c:numRef>
              <c:f>Pivot_Charts!$C$36:$C$46</c:f>
              <c:numCache>
                <c:formatCode>General</c:formatCode>
                <c:ptCount val="10"/>
                <c:pt idx="0">
                  <c:v>311.89999999999998</c:v>
                </c:pt>
                <c:pt idx="1">
                  <c:v>64381.26</c:v>
                </c:pt>
                <c:pt idx="2">
                  <c:v>167.84</c:v>
                </c:pt>
                <c:pt idx="3">
                  <c:v>270.05</c:v>
                </c:pt>
                <c:pt idx="4">
                  <c:v>920.43</c:v>
                </c:pt>
                <c:pt idx="5">
                  <c:v>918.43</c:v>
                </c:pt>
                <c:pt idx="6">
                  <c:v>446.65</c:v>
                </c:pt>
                <c:pt idx="7">
                  <c:v>728.28</c:v>
                </c:pt>
                <c:pt idx="8">
                  <c:v>161.38</c:v>
                </c:pt>
                <c:pt idx="9">
                  <c:v>568.13</c:v>
                </c:pt>
              </c:numCache>
            </c:numRef>
          </c:val>
          <c:extLst>
            <c:ext xmlns:c16="http://schemas.microsoft.com/office/drawing/2014/chart" uri="{C3380CC4-5D6E-409C-BE32-E72D297353CC}">
              <c16:uniqueId val="{00000001-7BE8-467E-B7BA-E62A6DFE17E1}"/>
            </c:ext>
          </c:extLst>
        </c:ser>
        <c:dLbls>
          <c:showLegendKey val="0"/>
          <c:showVal val="0"/>
          <c:showCatName val="0"/>
          <c:showSerName val="0"/>
          <c:showPercent val="0"/>
          <c:showBubbleSize val="0"/>
        </c:dLbls>
        <c:gapWidth val="219"/>
        <c:overlap val="-27"/>
        <c:axId val="447320223"/>
        <c:axId val="439193967"/>
      </c:barChart>
      <c:catAx>
        <c:axId val="4473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193967"/>
        <c:crosses val="autoZero"/>
        <c:auto val="1"/>
        <c:lblAlgn val="ctr"/>
        <c:lblOffset val="100"/>
        <c:noMultiLvlLbl val="0"/>
      </c:catAx>
      <c:valAx>
        <c:axId val="43919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20223"/>
        <c:crosses val="autoZero"/>
        <c:crossBetween val="between"/>
      </c:valAx>
      <c:spPr>
        <a:noFill/>
        <a:ln>
          <a:noFill/>
        </a:ln>
        <a:effectLst/>
      </c:spPr>
    </c:plotArea>
    <c:legend>
      <c:legendPos val="r"/>
      <c:layout>
        <c:manualLayout>
          <c:xMode val="edge"/>
          <c:yMode val="edge"/>
          <c:x val="0.67517475940507432"/>
          <c:y val="0.19624927092446778"/>
          <c:w val="0.3062809617680588"/>
          <c:h val="0.15535820303693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45000"/>
            <a:lumOff val="55000"/>
          </a:schemeClr>
        </a:gs>
        <a:gs pos="42000">
          <a:schemeClr val="accent1">
            <a:lumMod val="20000"/>
            <a:lumOff val="80000"/>
          </a:schemeClr>
        </a:gs>
        <a:gs pos="79000">
          <a:schemeClr val="accent1">
            <a:lumMod val="30000"/>
            <a:lumOff val="70000"/>
          </a:schemeClr>
        </a:gs>
      </a:gsLst>
      <a:lin ang="5400000" scaled="1"/>
    </a:gradFill>
    <a:ln w="9525" cap="flat" cmpd="sng" algn="ctr">
      <a:solidFill>
        <a:schemeClr val="tx1">
          <a:lumMod val="15000"/>
          <a:lumOff val="85000"/>
        </a:schemeClr>
      </a:solidFill>
      <a:round/>
    </a:ln>
    <a:effectLst>
      <a:glow rad="63500">
        <a:schemeClr val="accent6">
          <a:satMod val="175000"/>
          <a:alpha val="69000"/>
        </a:scheme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DCA-46FF-B81F-5C0A561106E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DCA-46FF-B81F-5C0A561106E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DCA-46FF-B81F-5C0A561106E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DCA-46FF-B81F-5C0A561106E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DCA-46FF-B81F-5C0A561106E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DCA-46FF-B81F-5C0A561106E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Pivot_Charts!$O$3:$O$8</c:f>
              <c:strCache>
                <c:ptCount val="6"/>
                <c:pt idx="0">
                  <c:v>Bitcoin</c:v>
                </c:pt>
                <c:pt idx="1">
                  <c:v>Ethereum</c:v>
                </c:pt>
                <c:pt idx="2">
                  <c:v>Tether</c:v>
                </c:pt>
                <c:pt idx="3">
                  <c:v>BNB</c:v>
                </c:pt>
                <c:pt idx="4">
                  <c:v>USDC</c:v>
                </c:pt>
                <c:pt idx="5">
                  <c:v>Others</c:v>
                </c:pt>
              </c:strCache>
            </c:strRef>
          </c:cat>
          <c:val>
            <c:numRef>
              <c:f>Pivot_Charts!$P$3:$P$8</c:f>
              <c:numCache>
                <c:formatCode>General</c:formatCode>
                <c:ptCount val="6"/>
                <c:pt idx="0">
                  <c:v>1290000000000</c:v>
                </c:pt>
                <c:pt idx="1">
                  <c:v>229890000000</c:v>
                </c:pt>
                <c:pt idx="2">
                  <c:v>183620000000</c:v>
                </c:pt>
                <c:pt idx="3">
                  <c:v>78700000000</c:v>
                </c:pt>
                <c:pt idx="4">
                  <c:v>71880000000</c:v>
                </c:pt>
                <c:pt idx="5">
                  <c:v>230812144340</c:v>
                </c:pt>
              </c:numCache>
            </c:numRef>
          </c:val>
          <c:extLst>
            <c:ext xmlns:c16="http://schemas.microsoft.com/office/drawing/2014/chart" uri="{C3380CC4-5D6E-409C-BE32-E72D297353CC}">
              <c16:uniqueId val="{00000000-E62F-49D1-A263-866B01055FF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100000">
          <a:schemeClr val="accent1">
            <a:lumMod val="45000"/>
            <a:lumOff val="55000"/>
          </a:schemeClr>
        </a:gs>
        <a:gs pos="59000">
          <a:schemeClr val="accent1">
            <a:lumMod val="20000"/>
            <a:lumOff val="80000"/>
          </a:schemeClr>
        </a:gs>
        <a:gs pos="71000">
          <a:schemeClr val="accent1">
            <a:lumMod val="30000"/>
            <a:lumOff val="70000"/>
          </a:schemeClr>
        </a:gs>
      </a:gsLst>
      <a:lin ang="5400000" scaled="1"/>
      <a:tileRect/>
    </a:gradFill>
    <a:ln w="9525" cap="flat" cmpd="sng" algn="ctr">
      <a:solidFill>
        <a:schemeClr val="dk1">
          <a:lumMod val="25000"/>
          <a:lumOff val="75000"/>
        </a:schemeClr>
      </a:solidFill>
      <a:round/>
    </a:ln>
    <a:effectLst>
      <a:glow rad="63500">
        <a:schemeClr val="accent6">
          <a:lumMod val="75000"/>
          <a:alpha val="69000"/>
        </a:scheme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[Crypto_Analysis_Project.xlsx]Pivot_Charts!PivotTable1</c:name>
    <c:fmtId val="4"/>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US" sz="2400" b="1">
                <a:solidFill>
                  <a:srgbClr val="C00000"/>
                </a:solidFill>
              </a:rPr>
              <a:t>Top</a:t>
            </a:r>
            <a:r>
              <a:rPr lang="en-US" sz="2400" b="1" baseline="0">
                <a:solidFill>
                  <a:srgbClr val="C00000"/>
                </a:solidFill>
              </a:rPr>
              <a:t> 10 Coins by Price</a:t>
            </a:r>
            <a:endParaRPr lang="en-US" sz="2400" b="1">
              <a:solidFill>
                <a:srgbClr val="C00000"/>
              </a:solidFill>
            </a:endParaRPr>
          </a:p>
        </c:rich>
      </c:tx>
      <c:layout>
        <c:manualLayout>
          <c:xMode val="edge"/>
          <c:yMode val="edge"/>
          <c:x val="0.30015266841644794"/>
          <c:y val="6.2464508801817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7103795747479"/>
          <c:y val="0.22412338346482283"/>
          <c:w val="0.85577709554168679"/>
          <c:h val="0.38111167262506385"/>
        </c:manualLayout>
      </c:layout>
      <c:barChart>
        <c:barDir val="col"/>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Bitcoin</c:v>
                </c:pt>
                <c:pt idx="1">
                  <c:v>Ethereum</c:v>
                </c:pt>
                <c:pt idx="2">
                  <c:v>Micron Technology Inc tokenized stock (Backpack)</c:v>
                </c:pt>
                <c:pt idx="3">
                  <c:v>Micron Technology tokenized stock (xStock)</c:v>
                </c:pt>
                <c:pt idx="4">
                  <c:v>Netflix Tokenized Stock (Ondo)</c:v>
                </c:pt>
                <c:pt idx="5">
                  <c:v>OpenAI
Pre-IPO stock (Republic)</c:v>
                </c:pt>
                <c:pt idx="6">
                  <c:v>BNB</c:v>
                </c:pt>
                <c:pt idx="7">
                  <c:v>Lockheed Tokenized Stock (Ondo)</c:v>
                </c:pt>
                <c:pt idx="8">
                  <c:v>Western Digital Tokenized bStocks</c:v>
                </c:pt>
                <c:pt idx="9">
                  <c:v>Meta Tokenized Stock (Reality)</c:v>
                </c:pt>
              </c:strCache>
            </c:strRef>
          </c:cat>
          <c:val>
            <c:numRef>
              <c:f>Pivot_Charts!$B$4:$B$14</c:f>
              <c:numCache>
                <c:formatCode>General</c:formatCode>
                <c:ptCount val="10"/>
                <c:pt idx="0">
                  <c:v>64381.26</c:v>
                </c:pt>
                <c:pt idx="1">
                  <c:v>1908.06</c:v>
                </c:pt>
                <c:pt idx="2">
                  <c:v>920.43</c:v>
                </c:pt>
                <c:pt idx="3">
                  <c:v>918.43</c:v>
                </c:pt>
                <c:pt idx="4">
                  <c:v>728.28</c:v>
                </c:pt>
                <c:pt idx="5">
                  <c:v>698.53</c:v>
                </c:pt>
                <c:pt idx="6">
                  <c:v>591.19000000000005</c:v>
                </c:pt>
                <c:pt idx="7">
                  <c:v>581.11</c:v>
                </c:pt>
                <c:pt idx="8">
                  <c:v>568.13</c:v>
                </c:pt>
                <c:pt idx="9">
                  <c:v>549.42999999999995</c:v>
                </c:pt>
              </c:numCache>
            </c:numRef>
          </c:val>
          <c:extLst>
            <c:ext xmlns:c16="http://schemas.microsoft.com/office/drawing/2014/chart" uri="{C3380CC4-5D6E-409C-BE32-E72D297353CC}">
              <c16:uniqueId val="{00000000-89D3-482A-ADF7-EC4F60C8C793}"/>
            </c:ext>
          </c:extLst>
        </c:ser>
        <c:dLbls>
          <c:showLegendKey val="0"/>
          <c:showVal val="0"/>
          <c:showCatName val="0"/>
          <c:showSerName val="0"/>
          <c:showPercent val="0"/>
          <c:showBubbleSize val="0"/>
        </c:dLbls>
        <c:gapWidth val="219"/>
        <c:overlap val="-27"/>
        <c:axId val="1287027216"/>
        <c:axId val="1127504816"/>
      </c:barChart>
      <c:catAx>
        <c:axId val="12870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504816"/>
        <c:crosses val="autoZero"/>
        <c:auto val="1"/>
        <c:lblAlgn val="ctr"/>
        <c:lblOffset val="100"/>
        <c:noMultiLvlLbl val="0"/>
      </c:catAx>
      <c:valAx>
        <c:axId val="112750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0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7000">
          <a:schemeClr val="accent1">
            <a:lumMod val="20000"/>
            <a:lumOff val="80000"/>
          </a:schemeClr>
        </a:gs>
        <a:gs pos="81000">
          <a:schemeClr val="accent1">
            <a:lumMod val="20000"/>
            <a:lumOff val="80000"/>
          </a:schemeClr>
        </a:gs>
        <a:gs pos="98000">
          <a:schemeClr val="accent1">
            <a:lumMod val="60000"/>
            <a:lumOff val="40000"/>
            <a:alpha val="87000"/>
          </a:schemeClr>
        </a:gs>
        <a:gs pos="43000">
          <a:srgbClr val="D0DDED">
            <a:lumMod val="50000"/>
            <a:lumOff val="50000"/>
          </a:srgbClr>
        </a:gs>
      </a:gsLst>
      <a:lin ang="5400000" scaled="1"/>
    </a:gradFill>
    <a:ln w="9525" cap="flat" cmpd="sng" algn="ctr">
      <a:noFill/>
      <a:round/>
    </a:ln>
    <a:effectLst>
      <a:glow rad="63500">
        <a:schemeClr val="accent6">
          <a:satMod val="175000"/>
          <a:alpha val="40000"/>
        </a:schemeClr>
      </a:glow>
      <a:outerShdw blurRad="63500" sx="102000" sy="102000" algn="ctr" rotWithShape="0">
        <a:srgbClr val="FFFF00">
          <a:alpha val="50000"/>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C00000"/>
                </a:solidFill>
              </a:rPr>
              <a:t>Most</a:t>
            </a:r>
            <a:r>
              <a:rPr lang="en-US" sz="2400" b="1" baseline="0">
                <a:solidFill>
                  <a:srgbClr val="C00000"/>
                </a:solidFill>
              </a:rPr>
              <a:t> Change in 1 hour</a:t>
            </a:r>
            <a:endParaRPr lang="en-US" sz="24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Pivot_Charts!$B$17</c:f>
              <c:strCache>
                <c:ptCount val="1"/>
                <c:pt idx="0">
                  <c:v>Total</c:v>
                </c:pt>
              </c:strCache>
            </c:strRef>
          </c:tx>
          <c:spPr>
            <a:solidFill>
              <a:schemeClr val="accent1"/>
            </a:solidFill>
            <a:ln>
              <a:noFill/>
            </a:ln>
            <a:effectLst/>
            <a:sp3d/>
          </c:spPr>
          <c:invertIfNegative val="0"/>
          <c:cat>
            <c:strRef>
              <c:f>Pivot_Charts!$A$18:$A$28</c:f>
              <c:strCache>
                <c:ptCount val="10"/>
                <c:pt idx="0">
                  <c:v>Cap</c:v>
                </c:pt>
                <c:pt idx="1">
                  <c:v>Echelon (EchelonMarket)</c:v>
                </c:pt>
                <c:pt idx="2">
                  <c:v>Free Joby</c:v>
                </c:pt>
                <c:pt idx="3">
                  <c:v>Giant Mammoth</c:v>
                </c:pt>
                <c:pt idx="4">
                  <c:v>Humans.ai</c:v>
                </c:pt>
                <c:pt idx="5">
                  <c:v>Kima Network</c:v>
                </c:pt>
                <c:pt idx="6">
                  <c:v>Lorenzo Protocol</c:v>
                </c:pt>
                <c:pt idx="7">
                  <c:v>RIZE</c:v>
                </c:pt>
                <c:pt idx="8">
                  <c:v>Zyfai</c:v>
                </c:pt>
                <c:pt idx="9">
                  <c:v>错版马</c:v>
                </c:pt>
              </c:strCache>
            </c:strRef>
          </c:cat>
          <c:val>
            <c:numRef>
              <c:f>Pivot_Charts!$B$18:$B$28</c:f>
              <c:numCache>
                <c:formatCode>General</c:formatCode>
                <c:ptCount val="10"/>
                <c:pt idx="0">
                  <c:v>5.8500000000000003E-2</c:v>
                </c:pt>
                <c:pt idx="1">
                  <c:v>3.78E-2</c:v>
                </c:pt>
                <c:pt idx="2">
                  <c:v>3.9100000000000003E-2</c:v>
                </c:pt>
                <c:pt idx="3">
                  <c:v>3.3099999999999997E-2</c:v>
                </c:pt>
                <c:pt idx="4">
                  <c:v>3.85E-2</c:v>
                </c:pt>
                <c:pt idx="5">
                  <c:v>0.13070000000000001</c:v>
                </c:pt>
                <c:pt idx="6">
                  <c:v>3.8699999999999998E-2</c:v>
                </c:pt>
                <c:pt idx="7">
                  <c:v>0.1012</c:v>
                </c:pt>
                <c:pt idx="8">
                  <c:v>3.4200000000000001E-2</c:v>
                </c:pt>
                <c:pt idx="9">
                  <c:v>2.2599999999999999E-2</c:v>
                </c:pt>
              </c:numCache>
            </c:numRef>
          </c:val>
          <c:extLst>
            <c:ext xmlns:c16="http://schemas.microsoft.com/office/drawing/2014/chart" uri="{C3380CC4-5D6E-409C-BE32-E72D297353CC}">
              <c16:uniqueId val="{00000000-15C3-4661-AA4F-A18C5D2725D7}"/>
            </c:ext>
          </c:extLst>
        </c:ser>
        <c:dLbls>
          <c:showLegendKey val="0"/>
          <c:showVal val="0"/>
          <c:showCatName val="0"/>
          <c:showSerName val="0"/>
          <c:showPercent val="0"/>
          <c:showBubbleSize val="0"/>
        </c:dLbls>
        <c:gapWidth val="150"/>
        <c:shape val="box"/>
        <c:axId val="1638114384"/>
        <c:axId val="1264525264"/>
        <c:axId val="0"/>
      </c:bar3DChart>
      <c:catAx>
        <c:axId val="1638114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25264"/>
        <c:crosses val="autoZero"/>
        <c:auto val="1"/>
        <c:lblAlgn val="ctr"/>
        <c:lblOffset val="100"/>
        <c:noMultiLvlLbl val="0"/>
      </c:catAx>
      <c:valAx>
        <c:axId val="1264525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11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3000">
          <a:schemeClr val="accent1">
            <a:lumMod val="23000"/>
            <a:lumOff val="77000"/>
          </a:schemeClr>
        </a:gs>
        <a:gs pos="81000">
          <a:schemeClr val="accent1">
            <a:lumMod val="20000"/>
            <a:lumOff val="80000"/>
          </a:schemeClr>
        </a:gs>
        <a:gs pos="98000">
          <a:schemeClr val="accent1">
            <a:lumMod val="60000"/>
            <a:lumOff val="40000"/>
            <a:alpha val="87000"/>
          </a:schemeClr>
        </a:gs>
        <a:gs pos="43000">
          <a:srgbClr val="D0DDED">
            <a:lumMod val="50000"/>
            <a:lumOff val="50000"/>
          </a:srgbClr>
        </a:gs>
      </a:gsLst>
      <a:lin ang="5400000" scaled="1"/>
    </a:gradFill>
    <a:ln w="9525" cap="flat" cmpd="sng" algn="ctr">
      <a:noFill/>
      <a:round/>
    </a:ln>
    <a:effectLst>
      <a:glow rad="88900">
        <a:schemeClr val="accent6">
          <a:alpha val="69000"/>
        </a:schemeClr>
      </a:glow>
      <a:outerShdw blurRad="63500" sx="102000" sy="102000" algn="ctr" rotWithShape="0">
        <a:srgbClr val="FFFF00">
          <a:alpha val="4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[Crypto_Analysis_Project.xlsx]Pivot_Charts!PivotTable3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rgbClr val="C00000"/>
                </a:solidFill>
              </a:rPr>
              <a:t>Price</a:t>
            </a:r>
            <a:r>
              <a:rPr lang="en-IN" sz="2400" b="1" baseline="0">
                <a:solidFill>
                  <a:srgbClr val="C00000"/>
                </a:solidFill>
              </a:rPr>
              <a:t> Vs Dollar Supply</a:t>
            </a:r>
            <a:endParaRPr lang="en-IN" sz="2400"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68813660844392"/>
          <c:y val="0.17170574756602372"/>
          <c:w val="0.4685067804024497"/>
          <c:h val="0.3885391070217234"/>
        </c:manualLayout>
      </c:layout>
      <c:barChart>
        <c:barDir val="col"/>
        <c:grouping val="clustered"/>
        <c:varyColors val="0"/>
        <c:ser>
          <c:idx val="0"/>
          <c:order val="0"/>
          <c:tx>
            <c:strRef>
              <c:f>Pivot_Charts!$B$35</c:f>
              <c:strCache>
                <c:ptCount val="1"/>
                <c:pt idx="0">
                  <c:v> Dollar Volume Per Supply</c:v>
                </c:pt>
              </c:strCache>
            </c:strRef>
          </c:tx>
          <c:spPr>
            <a:solidFill>
              <a:schemeClr val="accent1"/>
            </a:solidFill>
            <a:ln>
              <a:noFill/>
            </a:ln>
            <a:effectLst/>
          </c:spPr>
          <c:invertIfNegative val="0"/>
          <c:cat>
            <c:strRef>
              <c:f>Pivot_Charts!$A$36:$A$46</c:f>
              <c:strCache>
                <c:ptCount val="10"/>
                <c:pt idx="0">
                  <c:v>Apple Tokenized bStocks</c:v>
                </c:pt>
                <c:pt idx="1">
                  <c:v>Bitcoin</c:v>
                </c:pt>
                <c:pt idx="2">
                  <c:v>iShares MSCI South Korea ETF Tokenized bStocks</c:v>
                </c:pt>
                <c:pt idx="3">
                  <c:v>McDonald's tokenized stock (xStock)</c:v>
                </c:pt>
                <c:pt idx="4">
                  <c:v>Micron Technology Inc tokenized stock (Backpack)</c:v>
                </c:pt>
                <c:pt idx="5">
                  <c:v>Micron Technology tokenized stock (xStock)</c:v>
                </c:pt>
                <c:pt idx="6">
                  <c:v>Microsoft Tokenized bStocks</c:v>
                </c:pt>
                <c:pt idx="7">
                  <c:v>Netflix Tokenized Stock (Ondo)</c:v>
                </c:pt>
                <c:pt idx="8">
                  <c:v>SK hynix tokenized stock (xStock)</c:v>
                </c:pt>
                <c:pt idx="9">
                  <c:v>Western Digital Tokenized bStocks</c:v>
                </c:pt>
              </c:strCache>
            </c:strRef>
          </c:cat>
          <c:val>
            <c:numRef>
              <c:f>Pivot_Charts!$B$36:$B$46</c:f>
              <c:numCache>
                <c:formatCode>General</c:formatCode>
                <c:ptCount val="10"/>
                <c:pt idx="0">
                  <c:v>1503.2558139534883</c:v>
                </c:pt>
                <c:pt idx="1">
                  <c:v>1333.9980059820539</c:v>
                </c:pt>
                <c:pt idx="2">
                  <c:v>258.43307943416755</c:v>
                </c:pt>
                <c:pt idx="3">
                  <c:v>914.7869674185464</c:v>
                </c:pt>
                <c:pt idx="4">
                  <c:v>783.26996197718631</c:v>
                </c:pt>
                <c:pt idx="5">
                  <c:v>1053.5433070866143</c:v>
                </c:pt>
                <c:pt idx="6">
                  <c:v>628.11791383219952</c:v>
                </c:pt>
                <c:pt idx="7">
                  <c:v>1771.1864406779659</c:v>
                </c:pt>
                <c:pt idx="8">
                  <c:v>215.74664614031229</c:v>
                </c:pt>
                <c:pt idx="9">
                  <c:v>985.50724637681162</c:v>
                </c:pt>
              </c:numCache>
            </c:numRef>
          </c:val>
          <c:extLst>
            <c:ext xmlns:c16="http://schemas.microsoft.com/office/drawing/2014/chart" uri="{C3380CC4-5D6E-409C-BE32-E72D297353CC}">
              <c16:uniqueId val="{00000000-5DAD-44FB-AE14-C495B78C8966}"/>
            </c:ext>
          </c:extLst>
        </c:ser>
        <c:ser>
          <c:idx val="1"/>
          <c:order val="1"/>
          <c:tx>
            <c:strRef>
              <c:f>Pivot_Charts!$C$35</c:f>
              <c:strCache>
                <c:ptCount val="1"/>
                <c:pt idx="0">
                  <c:v> Price (USD)</c:v>
                </c:pt>
              </c:strCache>
            </c:strRef>
          </c:tx>
          <c:spPr>
            <a:solidFill>
              <a:schemeClr val="accent2"/>
            </a:solidFill>
            <a:ln>
              <a:noFill/>
            </a:ln>
            <a:effectLst/>
          </c:spPr>
          <c:invertIfNegative val="0"/>
          <c:cat>
            <c:strRef>
              <c:f>Pivot_Charts!$A$36:$A$46</c:f>
              <c:strCache>
                <c:ptCount val="10"/>
                <c:pt idx="0">
                  <c:v>Apple Tokenized bStocks</c:v>
                </c:pt>
                <c:pt idx="1">
                  <c:v>Bitcoin</c:v>
                </c:pt>
                <c:pt idx="2">
                  <c:v>iShares MSCI South Korea ETF Tokenized bStocks</c:v>
                </c:pt>
                <c:pt idx="3">
                  <c:v>McDonald's tokenized stock (xStock)</c:v>
                </c:pt>
                <c:pt idx="4">
                  <c:v>Micron Technology Inc tokenized stock (Backpack)</c:v>
                </c:pt>
                <c:pt idx="5">
                  <c:v>Micron Technology tokenized stock (xStock)</c:v>
                </c:pt>
                <c:pt idx="6">
                  <c:v>Microsoft Tokenized bStocks</c:v>
                </c:pt>
                <c:pt idx="7">
                  <c:v>Netflix Tokenized Stock (Ondo)</c:v>
                </c:pt>
                <c:pt idx="8">
                  <c:v>SK hynix tokenized stock (xStock)</c:v>
                </c:pt>
                <c:pt idx="9">
                  <c:v>Western Digital Tokenized bStocks</c:v>
                </c:pt>
              </c:strCache>
            </c:strRef>
          </c:cat>
          <c:val>
            <c:numRef>
              <c:f>Pivot_Charts!$C$36:$C$46</c:f>
              <c:numCache>
                <c:formatCode>General</c:formatCode>
                <c:ptCount val="10"/>
                <c:pt idx="0">
                  <c:v>311.89999999999998</c:v>
                </c:pt>
                <c:pt idx="1">
                  <c:v>64381.26</c:v>
                </c:pt>
                <c:pt idx="2">
                  <c:v>167.84</c:v>
                </c:pt>
                <c:pt idx="3">
                  <c:v>270.05</c:v>
                </c:pt>
                <c:pt idx="4">
                  <c:v>920.43</c:v>
                </c:pt>
                <c:pt idx="5">
                  <c:v>918.43</c:v>
                </c:pt>
                <c:pt idx="6">
                  <c:v>446.65</c:v>
                </c:pt>
                <c:pt idx="7">
                  <c:v>728.28</c:v>
                </c:pt>
                <c:pt idx="8">
                  <c:v>161.38</c:v>
                </c:pt>
                <c:pt idx="9">
                  <c:v>568.13</c:v>
                </c:pt>
              </c:numCache>
            </c:numRef>
          </c:val>
          <c:extLst>
            <c:ext xmlns:c16="http://schemas.microsoft.com/office/drawing/2014/chart" uri="{C3380CC4-5D6E-409C-BE32-E72D297353CC}">
              <c16:uniqueId val="{00000001-5DAD-44FB-AE14-C495B78C8966}"/>
            </c:ext>
          </c:extLst>
        </c:ser>
        <c:dLbls>
          <c:showLegendKey val="0"/>
          <c:showVal val="0"/>
          <c:showCatName val="0"/>
          <c:showSerName val="0"/>
          <c:showPercent val="0"/>
          <c:showBubbleSize val="0"/>
        </c:dLbls>
        <c:gapWidth val="219"/>
        <c:overlap val="-27"/>
        <c:axId val="447320223"/>
        <c:axId val="439193967"/>
      </c:barChart>
      <c:catAx>
        <c:axId val="4473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193967"/>
        <c:crosses val="autoZero"/>
        <c:auto val="1"/>
        <c:lblAlgn val="ctr"/>
        <c:lblOffset val="100"/>
        <c:noMultiLvlLbl val="0"/>
      </c:catAx>
      <c:valAx>
        <c:axId val="439193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20223"/>
        <c:crosses val="autoZero"/>
        <c:crossBetween val="between"/>
      </c:valAx>
      <c:spPr>
        <a:noFill/>
        <a:ln>
          <a:noFill/>
        </a:ln>
        <a:effectLst/>
      </c:spPr>
    </c:plotArea>
    <c:legend>
      <c:legendPos val="r"/>
      <c:layout>
        <c:manualLayout>
          <c:xMode val="edge"/>
          <c:yMode val="edge"/>
          <c:x val="0.67517475940507432"/>
          <c:y val="0.19624927092446778"/>
          <c:w val="0.3062809617680588"/>
          <c:h val="0.15535820303693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100000">
          <a:schemeClr val="accent1">
            <a:lumMod val="45000"/>
            <a:lumOff val="55000"/>
          </a:schemeClr>
        </a:gs>
        <a:gs pos="42000">
          <a:schemeClr val="accent1">
            <a:lumMod val="20000"/>
            <a:lumOff val="80000"/>
          </a:schemeClr>
        </a:gs>
        <a:gs pos="79000">
          <a:schemeClr val="accent1">
            <a:lumMod val="30000"/>
            <a:lumOff val="70000"/>
          </a:schemeClr>
        </a:gs>
      </a:gsLst>
      <a:lin ang="5400000" scaled="1"/>
    </a:gradFill>
    <a:ln w="9525" cap="flat" cmpd="sng" algn="ctr">
      <a:solidFill>
        <a:schemeClr val="tx1">
          <a:lumMod val="15000"/>
          <a:lumOff val="85000"/>
        </a:schemeClr>
      </a:solidFill>
      <a:round/>
    </a:ln>
    <a:effectLst>
      <a:glow rad="63500">
        <a:schemeClr val="accent6">
          <a:satMod val="175000"/>
          <a:alpha val="69000"/>
        </a:scheme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2400">
                <a:solidFill>
                  <a:srgbClr val="C00000"/>
                </a:solidFill>
              </a:rPr>
              <a:t>Market Capital Shares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A4-41BE-80CF-B913AA8E6F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A4-41BE-80CF-B913AA8E6F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A4-41BE-80CF-B913AA8E6F4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2A4-41BE-80CF-B913AA8E6F4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2A4-41BE-80CF-B913AA8E6F4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2A4-41BE-80CF-B913AA8E6F4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Pivot_Charts!$O$3:$O$8</c:f>
              <c:strCache>
                <c:ptCount val="6"/>
                <c:pt idx="0">
                  <c:v>Bitcoin</c:v>
                </c:pt>
                <c:pt idx="1">
                  <c:v>Ethereum</c:v>
                </c:pt>
                <c:pt idx="2">
                  <c:v>Tether</c:v>
                </c:pt>
                <c:pt idx="3">
                  <c:v>BNB</c:v>
                </c:pt>
                <c:pt idx="4">
                  <c:v>USDC</c:v>
                </c:pt>
                <c:pt idx="5">
                  <c:v>Others</c:v>
                </c:pt>
              </c:strCache>
            </c:strRef>
          </c:cat>
          <c:val>
            <c:numRef>
              <c:f>Pivot_Charts!$P$3:$P$8</c:f>
              <c:numCache>
                <c:formatCode>General</c:formatCode>
                <c:ptCount val="6"/>
                <c:pt idx="0">
                  <c:v>1290000000000</c:v>
                </c:pt>
                <c:pt idx="1">
                  <c:v>229890000000</c:v>
                </c:pt>
                <c:pt idx="2">
                  <c:v>183620000000</c:v>
                </c:pt>
                <c:pt idx="3">
                  <c:v>78700000000</c:v>
                </c:pt>
                <c:pt idx="4">
                  <c:v>71880000000</c:v>
                </c:pt>
                <c:pt idx="5">
                  <c:v>230812144340</c:v>
                </c:pt>
              </c:numCache>
            </c:numRef>
          </c:val>
          <c:extLst>
            <c:ext xmlns:c16="http://schemas.microsoft.com/office/drawing/2014/chart" uri="{C3380CC4-5D6E-409C-BE32-E72D297353CC}">
              <c16:uniqueId val="{0000000C-22A4-41BE-80CF-B913AA8E6F4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100000">
          <a:schemeClr val="accent1">
            <a:lumMod val="45000"/>
            <a:lumOff val="55000"/>
          </a:schemeClr>
        </a:gs>
        <a:gs pos="59000">
          <a:schemeClr val="accent1">
            <a:lumMod val="20000"/>
            <a:lumOff val="80000"/>
          </a:schemeClr>
        </a:gs>
        <a:gs pos="71000">
          <a:schemeClr val="accent1">
            <a:lumMod val="30000"/>
            <a:lumOff val="70000"/>
          </a:schemeClr>
        </a:gs>
      </a:gsLst>
      <a:lin ang="5400000" scaled="1"/>
      <a:tileRect/>
    </a:gradFill>
    <a:ln w="9525" cap="flat" cmpd="sng" algn="ctr">
      <a:solidFill>
        <a:schemeClr val="dk1">
          <a:lumMod val="25000"/>
          <a:lumOff val="75000"/>
        </a:schemeClr>
      </a:solidFill>
      <a:round/>
    </a:ln>
    <a:effectLst>
      <a:glow rad="63500">
        <a:schemeClr val="accent6">
          <a:lumMod val="75000"/>
          <a:alpha val="69000"/>
        </a:schemeClr>
      </a:glow>
      <a:outerShdw blurRad="63500" sx="102000" sy="102000" algn="ctr" rotWithShape="0">
        <a:srgbClr val="FFC000">
          <a:alpha val="40000"/>
        </a:srgb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167640</xdr:colOff>
      <xdr:row>1</xdr:row>
      <xdr:rowOff>171450</xdr:rowOff>
    </xdr:from>
    <xdr:to>
      <xdr:col>8</xdr:col>
      <xdr:colOff>137160</xdr:colOff>
      <xdr:row>14</xdr:row>
      <xdr:rowOff>30480</xdr:rowOff>
    </xdr:to>
    <xdr:graphicFrame macro="">
      <xdr:nvGraphicFramePr>
        <xdr:cNvPr id="2" name="Chart 1">
          <a:extLst>
            <a:ext uri="{FF2B5EF4-FFF2-40B4-BE49-F238E27FC236}">
              <a16:creationId xmlns:a16="http://schemas.microsoft.com/office/drawing/2014/main" id="{1BB2F9C7-E2DC-201F-1942-774639B38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304800</xdr:colOff>
      <xdr:row>2</xdr:row>
      <xdr:rowOff>15240</xdr:rowOff>
    </xdr:from>
    <xdr:to>
      <xdr:col>10</xdr:col>
      <xdr:colOff>586739</xdr:colOff>
      <xdr:row>14</xdr:row>
      <xdr:rowOff>104775</xdr:rowOff>
    </xdr:to>
    <mc:AlternateContent xmlns:mc="http://schemas.openxmlformats.org/markup-compatibility/2006" xmlns:a14="http://schemas.microsoft.com/office/drawing/2010/main">
      <mc:Choice Requires="a14">
        <xdr:graphicFrame macro="">
          <xdr:nvGraphicFramePr>
            <xdr:cNvPr id="3" name="Price Range">
              <a:extLst>
                <a:ext uri="{FF2B5EF4-FFF2-40B4-BE49-F238E27FC236}">
                  <a16:creationId xmlns:a16="http://schemas.microsoft.com/office/drawing/2014/main" id="{542C9430-2429-16E0-9D45-EF1186221344}"/>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9448800" y="381001"/>
              <a:ext cx="150114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137160</xdr:colOff>
      <xdr:row>15</xdr:row>
      <xdr:rowOff>160020</xdr:rowOff>
    </xdr:from>
    <xdr:to>
      <xdr:col>10</xdr:col>
      <xdr:colOff>83820</xdr:colOff>
      <xdr:row>31</xdr:row>
      <xdr:rowOff>68580</xdr:rowOff>
    </xdr:to>
    <xdr:graphicFrame macro="">
      <xdr:nvGraphicFramePr>
        <xdr:cNvPr id="4" name="Chart 3">
          <a:extLst>
            <a:ext uri="{FF2B5EF4-FFF2-40B4-BE49-F238E27FC236}">
              <a16:creationId xmlns:a16="http://schemas.microsoft.com/office/drawing/2014/main" id="{D8F4D3A8-6629-EAC2-E768-0ACB1BE8D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335280</xdr:colOff>
      <xdr:row>33</xdr:row>
      <xdr:rowOff>26670</xdr:rowOff>
    </xdr:from>
    <xdr:to>
      <xdr:col>11</xdr:col>
      <xdr:colOff>30480</xdr:colOff>
      <xdr:row>48</xdr:row>
      <xdr:rowOff>26670</xdr:rowOff>
    </xdr:to>
    <xdr:graphicFrame macro="">
      <xdr:nvGraphicFramePr>
        <xdr:cNvPr id="6" name="Chart 5">
          <a:extLst>
            <a:ext uri="{FF2B5EF4-FFF2-40B4-BE49-F238E27FC236}">
              <a16:creationId xmlns:a16="http://schemas.microsoft.com/office/drawing/2014/main" id="{B5176CDF-A701-8649-F984-FF75E4AE4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13138</xdr:colOff>
      <xdr:row>9</xdr:row>
      <xdr:rowOff>152400</xdr:rowOff>
    </xdr:from>
    <xdr:to>
      <xdr:col>17</xdr:col>
      <xdr:colOff>389759</xdr:colOff>
      <xdr:row>24</xdr:row>
      <xdr:rowOff>136634</xdr:rowOff>
    </xdr:to>
    <xdr:graphicFrame macro="">
      <xdr:nvGraphicFramePr>
        <xdr:cNvPr id="7" name="Chart 6">
          <a:extLst>
            <a:ext uri="{FF2B5EF4-FFF2-40B4-BE49-F238E27FC236}">
              <a16:creationId xmlns:a16="http://schemas.microsoft.com/office/drawing/2014/main" id="{AAFE6DC9-04D1-9F75-5540-62DA717F6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420414</xdr:colOff>
      <xdr:row>1</xdr:row>
      <xdr:rowOff>166413</xdr:rowOff>
    </xdr:from>
    <xdr:to>
      <xdr:col>26</xdr:col>
      <xdr:colOff>394139</xdr:colOff>
      <xdr:row>6</xdr:row>
      <xdr:rowOff>78828</xdr:rowOff>
    </xdr:to>
    <xdr:sp macro="" textlink="W4">
      <xdr:nvSpPr>
        <xdr:cNvPr id="5" name="Rectangle: Rounded Corners 4">
          <a:extLst>
            <a:ext uri="{FF2B5EF4-FFF2-40B4-BE49-F238E27FC236}">
              <a16:creationId xmlns:a16="http://schemas.microsoft.com/office/drawing/2014/main" id="{4F5E5EFC-5956-E071-3685-BC8E1DBCDB91}"/>
            </a:ext>
          </a:extLst>
        </xdr:cNvPr>
        <xdr:cNvSpPr/>
      </xdr:nvSpPr>
      <xdr:spPr>
        <a:xfrm>
          <a:off x="23271655" y="350344"/>
          <a:ext cx="1813036" cy="832070"/>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67F5592-1913-4047-BE08-E0E8F5B6FB00}" type="TxLink">
            <a:rPr lang="en-US" sz="1800" b="1" i="0" u="none" strike="noStrike">
              <a:solidFill>
                <a:srgbClr val="000000"/>
              </a:solidFill>
              <a:latin typeface="Calibri"/>
              <a:ea typeface="Calibri"/>
              <a:cs typeface="Calibri"/>
            </a:rPr>
            <a:pPr algn="ctr"/>
            <a:t>2.0849E+12</a:t>
          </a:fld>
          <a:endParaRPr lang="en-IN" sz="1800" b="1"/>
        </a:p>
      </xdr:txBody>
    </xdr:sp>
    <xdr:clientData/>
  </xdr:twoCellAnchor>
  <xdr:twoCellAnchor>
    <xdr:from>
      <xdr:col>23</xdr:col>
      <xdr:colOff>525518</xdr:colOff>
      <xdr:row>2</xdr:row>
      <xdr:rowOff>78828</xdr:rowOff>
    </xdr:from>
    <xdr:to>
      <xdr:col>26</xdr:col>
      <xdr:colOff>315311</xdr:colOff>
      <xdr:row>4</xdr:row>
      <xdr:rowOff>0</xdr:rowOff>
    </xdr:to>
    <xdr:sp macro="" textlink="">
      <xdr:nvSpPr>
        <xdr:cNvPr id="8" name="TextBox 7">
          <a:extLst>
            <a:ext uri="{FF2B5EF4-FFF2-40B4-BE49-F238E27FC236}">
              <a16:creationId xmlns:a16="http://schemas.microsoft.com/office/drawing/2014/main" id="{687FAAFE-5E01-8293-78C3-335BEA729193}"/>
            </a:ext>
          </a:extLst>
        </xdr:cNvPr>
        <xdr:cNvSpPr txBox="1"/>
      </xdr:nvSpPr>
      <xdr:spPr>
        <a:xfrm>
          <a:off x="23376759" y="446690"/>
          <a:ext cx="1629104" cy="28903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Sum</a:t>
          </a:r>
          <a:r>
            <a:rPr lang="en-IN" sz="1200" b="1" baseline="0">
              <a:solidFill>
                <a:srgbClr val="FF0000"/>
              </a:solidFill>
            </a:rPr>
            <a:t> of Market Capital</a:t>
          </a:r>
          <a:endParaRPr lang="en-IN" sz="1200" b="1">
            <a:solidFill>
              <a:srgbClr val="FF0000"/>
            </a:solidFill>
          </a:endParaRPr>
        </a:p>
      </xdr:txBody>
    </xdr:sp>
    <xdr:clientData/>
  </xdr:twoCellAnchor>
  <xdr:twoCellAnchor>
    <xdr:from>
      <xdr:col>27</xdr:col>
      <xdr:colOff>210207</xdr:colOff>
      <xdr:row>3</xdr:row>
      <xdr:rowOff>26276</xdr:rowOff>
    </xdr:from>
    <xdr:to>
      <xdr:col>28</xdr:col>
      <xdr:colOff>511503</xdr:colOff>
      <xdr:row>8</xdr:row>
      <xdr:rowOff>21021</xdr:rowOff>
    </xdr:to>
    <xdr:sp macro="" textlink="">
      <xdr:nvSpPr>
        <xdr:cNvPr id="9" name="Rectangle: Rounded Corners 8">
          <a:extLst>
            <a:ext uri="{FF2B5EF4-FFF2-40B4-BE49-F238E27FC236}">
              <a16:creationId xmlns:a16="http://schemas.microsoft.com/office/drawing/2014/main" id="{6CE33CA6-F355-DEBC-A59A-E53F19C9133D}"/>
            </a:ext>
          </a:extLst>
        </xdr:cNvPr>
        <xdr:cNvSpPr/>
      </xdr:nvSpPr>
      <xdr:spPr>
        <a:xfrm>
          <a:off x="25513862" y="578069"/>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332828</xdr:colOff>
      <xdr:row>8</xdr:row>
      <xdr:rowOff>166413</xdr:rowOff>
    </xdr:from>
    <xdr:to>
      <xdr:col>32</xdr:col>
      <xdr:colOff>411656</xdr:colOff>
      <xdr:row>13</xdr:row>
      <xdr:rowOff>131379</xdr:rowOff>
    </xdr:to>
    <xdr:sp macro="" textlink="W13">
      <xdr:nvSpPr>
        <xdr:cNvPr id="10" name="Rectangle: Rounded Corners 9">
          <a:extLst>
            <a:ext uri="{FF2B5EF4-FFF2-40B4-BE49-F238E27FC236}">
              <a16:creationId xmlns:a16="http://schemas.microsoft.com/office/drawing/2014/main" id="{A117D108-BEB1-4C4B-B5AA-494D29F82FB6}"/>
            </a:ext>
          </a:extLst>
        </xdr:cNvPr>
        <xdr:cNvSpPr/>
      </xdr:nvSpPr>
      <xdr:spPr>
        <a:xfrm>
          <a:off x="26862690" y="1637861"/>
          <a:ext cx="1918138" cy="884621"/>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AB71766-1F7A-40CB-ACCF-B6EEDAEB5952}" type="TxLink">
            <a:rPr lang="en-US" sz="2000" b="1" i="0" u="none" strike="noStrike">
              <a:solidFill>
                <a:srgbClr val="000000"/>
              </a:solidFill>
              <a:latin typeface="Calibri"/>
              <a:ea typeface="Calibri"/>
              <a:cs typeface="Calibri"/>
            </a:rPr>
            <a:pPr algn="ctr"/>
            <a:t>64381.26</a:t>
          </a:fld>
          <a:endParaRPr lang="en-IN" sz="3200" b="1"/>
        </a:p>
      </xdr:txBody>
    </xdr:sp>
    <xdr:clientData/>
  </xdr:twoCellAnchor>
  <xdr:twoCellAnchor>
    <xdr:from>
      <xdr:col>29</xdr:col>
      <xdr:colOff>275022</xdr:colOff>
      <xdr:row>2</xdr:row>
      <xdr:rowOff>61310</xdr:rowOff>
    </xdr:from>
    <xdr:to>
      <xdr:col>32</xdr:col>
      <xdr:colOff>359104</xdr:colOff>
      <xdr:row>7</xdr:row>
      <xdr:rowOff>0</xdr:rowOff>
    </xdr:to>
    <xdr:sp macro="" textlink="W11">
      <xdr:nvSpPr>
        <xdr:cNvPr id="12" name="Rectangle: Rounded Corners 11">
          <a:extLst>
            <a:ext uri="{FF2B5EF4-FFF2-40B4-BE49-F238E27FC236}">
              <a16:creationId xmlns:a16="http://schemas.microsoft.com/office/drawing/2014/main" id="{7B0EAC59-6000-4ACA-ADA5-4528FE9DF992}"/>
            </a:ext>
          </a:extLst>
        </xdr:cNvPr>
        <xdr:cNvSpPr/>
      </xdr:nvSpPr>
      <xdr:spPr>
        <a:xfrm>
          <a:off x="26804884" y="429172"/>
          <a:ext cx="1923392" cy="858345"/>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85CB3E-291B-4212-B531-14CC33D3B36C}" type="TxLink">
            <a:rPr lang="en-US" sz="2000" b="1" i="0" u="none" strike="noStrike">
              <a:solidFill>
                <a:srgbClr val="000000"/>
              </a:solidFill>
              <a:latin typeface="Calibri"/>
              <a:ea typeface="Calibri"/>
              <a:cs typeface="Calibri"/>
            </a:rPr>
            <a:pPr algn="ctr"/>
            <a:t>Bitcoin</a:t>
          </a:fld>
          <a:endParaRPr lang="en-IN" sz="3200" b="1"/>
        </a:p>
      </xdr:txBody>
    </xdr:sp>
    <xdr:clientData/>
  </xdr:twoCellAnchor>
  <xdr:twoCellAnchor>
    <xdr:from>
      <xdr:col>29</xdr:col>
      <xdr:colOff>411657</xdr:colOff>
      <xdr:row>2</xdr:row>
      <xdr:rowOff>175172</xdr:rowOff>
    </xdr:from>
    <xdr:to>
      <xdr:col>32</xdr:col>
      <xdr:colOff>201451</xdr:colOff>
      <xdr:row>4</xdr:row>
      <xdr:rowOff>113861</xdr:rowOff>
    </xdr:to>
    <xdr:sp macro="" textlink="">
      <xdr:nvSpPr>
        <xdr:cNvPr id="11" name="TextBox 10">
          <a:extLst>
            <a:ext uri="{FF2B5EF4-FFF2-40B4-BE49-F238E27FC236}">
              <a16:creationId xmlns:a16="http://schemas.microsoft.com/office/drawing/2014/main" id="{F02E2BB8-F700-4BA7-AC00-A9A13E2A5B04}"/>
            </a:ext>
          </a:extLst>
        </xdr:cNvPr>
        <xdr:cNvSpPr txBox="1"/>
      </xdr:nvSpPr>
      <xdr:spPr>
        <a:xfrm>
          <a:off x="26941519" y="543034"/>
          <a:ext cx="1629104" cy="30655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0000"/>
              </a:solidFill>
            </a:rPr>
            <a:t>Top</a:t>
          </a:r>
          <a:r>
            <a:rPr lang="en-IN" sz="1400" b="1" baseline="0">
              <a:solidFill>
                <a:srgbClr val="FF0000"/>
              </a:solidFill>
            </a:rPr>
            <a:t> Price Coin</a:t>
          </a:r>
          <a:endParaRPr lang="en-IN" sz="1400" b="1">
            <a:solidFill>
              <a:srgbClr val="FF0000"/>
            </a:solidFill>
          </a:endParaRPr>
        </a:p>
      </xdr:txBody>
    </xdr:sp>
    <xdr:clientData/>
  </xdr:twoCellAnchor>
  <xdr:twoCellAnchor>
    <xdr:from>
      <xdr:col>29</xdr:col>
      <xdr:colOff>420414</xdr:colOff>
      <xdr:row>9</xdr:row>
      <xdr:rowOff>78828</xdr:rowOff>
    </xdr:from>
    <xdr:to>
      <xdr:col>32</xdr:col>
      <xdr:colOff>262759</xdr:colOff>
      <xdr:row>11</xdr:row>
      <xdr:rowOff>8759</xdr:rowOff>
    </xdr:to>
    <xdr:sp macro="" textlink="">
      <xdr:nvSpPr>
        <xdr:cNvPr id="13" name="TextBox 12">
          <a:extLst>
            <a:ext uri="{FF2B5EF4-FFF2-40B4-BE49-F238E27FC236}">
              <a16:creationId xmlns:a16="http://schemas.microsoft.com/office/drawing/2014/main" id="{B2136939-3C80-49F3-9756-04BCE297EA4F}"/>
            </a:ext>
          </a:extLst>
        </xdr:cNvPr>
        <xdr:cNvSpPr txBox="1"/>
      </xdr:nvSpPr>
      <xdr:spPr>
        <a:xfrm>
          <a:off x="26950276" y="1734207"/>
          <a:ext cx="1681655" cy="29779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F0000"/>
              </a:solidFill>
            </a:rPr>
            <a:t>Price</a:t>
          </a:r>
          <a:r>
            <a:rPr lang="en-IN" sz="1400" b="1" baseline="0">
              <a:solidFill>
                <a:srgbClr val="FF0000"/>
              </a:solidFill>
            </a:rPr>
            <a:t> of Top Coin</a:t>
          </a:r>
          <a:endParaRPr lang="en-IN" sz="1400" b="1">
            <a:solidFill>
              <a:srgbClr val="FF0000"/>
            </a:solidFill>
          </a:endParaRPr>
        </a:p>
      </xdr:txBody>
    </xdr:sp>
    <xdr:clientData/>
  </xdr:twoCellAnchor>
  <xdr:twoCellAnchor>
    <xdr:from>
      <xdr:col>23</xdr:col>
      <xdr:colOff>471216</xdr:colOff>
      <xdr:row>14</xdr:row>
      <xdr:rowOff>50800</xdr:rowOff>
    </xdr:from>
    <xdr:to>
      <xdr:col>26</xdr:col>
      <xdr:colOff>508000</xdr:colOff>
      <xdr:row>19</xdr:row>
      <xdr:rowOff>61310</xdr:rowOff>
    </xdr:to>
    <xdr:sp macro="" textlink="W10">
      <xdr:nvSpPr>
        <xdr:cNvPr id="14" name="Rectangle: Rounded Corners 13">
          <a:extLst>
            <a:ext uri="{FF2B5EF4-FFF2-40B4-BE49-F238E27FC236}">
              <a16:creationId xmlns:a16="http://schemas.microsoft.com/office/drawing/2014/main" id="{A1C13825-E145-4BA9-9B8E-93A1BEDAA358}"/>
            </a:ext>
          </a:extLst>
        </xdr:cNvPr>
        <xdr:cNvSpPr/>
      </xdr:nvSpPr>
      <xdr:spPr>
        <a:xfrm>
          <a:off x="23322457" y="2625834"/>
          <a:ext cx="1876095" cy="930166"/>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91A4400-55D4-4758-97D4-8287B7A68D5F}" type="TxLink">
            <a:rPr lang="en-US" sz="1800" b="1" i="0" u="none" strike="noStrike">
              <a:solidFill>
                <a:srgbClr val="000000"/>
              </a:solidFill>
              <a:latin typeface="Calibri"/>
              <a:ea typeface="Calibri"/>
              <a:cs typeface="Calibri"/>
            </a:rPr>
            <a:pPr algn="ctr"/>
            <a:t>5.47408E+15</a:t>
          </a:fld>
          <a:endParaRPr lang="en-IN" sz="2800" b="1"/>
        </a:p>
      </xdr:txBody>
    </xdr:sp>
    <xdr:clientData/>
  </xdr:twoCellAnchor>
  <xdr:twoCellAnchor>
    <xdr:from>
      <xdr:col>23</xdr:col>
      <xdr:colOff>554797</xdr:colOff>
      <xdr:row>14</xdr:row>
      <xdr:rowOff>133369</xdr:rowOff>
    </xdr:from>
    <xdr:to>
      <xdr:col>26</xdr:col>
      <xdr:colOff>455448</xdr:colOff>
      <xdr:row>16</xdr:row>
      <xdr:rowOff>96344</xdr:rowOff>
    </xdr:to>
    <xdr:sp macro="" textlink="">
      <xdr:nvSpPr>
        <xdr:cNvPr id="15" name="TextBox 14">
          <a:extLst>
            <a:ext uri="{FF2B5EF4-FFF2-40B4-BE49-F238E27FC236}">
              <a16:creationId xmlns:a16="http://schemas.microsoft.com/office/drawing/2014/main" id="{72DBCEFC-ADB3-4E87-B5E6-75F89C5E9FE7}"/>
            </a:ext>
          </a:extLst>
        </xdr:cNvPr>
        <xdr:cNvSpPr txBox="1"/>
      </xdr:nvSpPr>
      <xdr:spPr>
        <a:xfrm rot="10800000" flipV="1">
          <a:off x="23406038" y="2708403"/>
          <a:ext cx="1739962" cy="33083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Total</a:t>
          </a:r>
          <a:r>
            <a:rPr lang="en-IN" sz="1200" b="1" baseline="0">
              <a:solidFill>
                <a:srgbClr val="FF0000"/>
              </a:solidFill>
            </a:rPr>
            <a:t> Circulating Supply</a:t>
          </a:r>
          <a:endParaRPr lang="en-IN" sz="1200" b="1">
            <a:solidFill>
              <a:srgbClr val="FF0000"/>
            </a:solidFill>
          </a:endParaRPr>
        </a:p>
      </xdr:txBody>
    </xdr:sp>
    <xdr:clientData/>
  </xdr:twoCellAnchor>
  <xdr:twoCellAnchor>
    <xdr:from>
      <xdr:col>23</xdr:col>
      <xdr:colOff>474718</xdr:colOff>
      <xdr:row>8</xdr:row>
      <xdr:rowOff>19269</xdr:rowOff>
    </xdr:from>
    <xdr:to>
      <xdr:col>26</xdr:col>
      <xdr:colOff>474718</xdr:colOff>
      <xdr:row>12</xdr:row>
      <xdr:rowOff>157656</xdr:rowOff>
    </xdr:to>
    <xdr:sp macro="" textlink="W7">
      <xdr:nvSpPr>
        <xdr:cNvPr id="16" name="Rectangle: Rounded Corners 15">
          <a:extLst>
            <a:ext uri="{FF2B5EF4-FFF2-40B4-BE49-F238E27FC236}">
              <a16:creationId xmlns:a16="http://schemas.microsoft.com/office/drawing/2014/main" id="{E939ED8F-6BC4-4055-B11B-61A4D057BED5}"/>
            </a:ext>
          </a:extLst>
        </xdr:cNvPr>
        <xdr:cNvSpPr/>
      </xdr:nvSpPr>
      <xdr:spPr>
        <a:xfrm>
          <a:off x="23325959" y="1490717"/>
          <a:ext cx="1839311" cy="874111"/>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1117F31-087F-49C9-B86B-8C0356C7E869}" type="TxLink">
            <a:rPr lang="en-US" sz="1800" b="1" i="0" u="none" strike="noStrike">
              <a:solidFill>
                <a:srgbClr val="000000"/>
              </a:solidFill>
              <a:latin typeface="Calibri"/>
              <a:ea typeface="Calibri"/>
              <a:cs typeface="Calibri"/>
            </a:rPr>
            <a:pPr algn="ctr"/>
            <a:t>77993.5252</a:t>
          </a:fld>
          <a:endParaRPr lang="en-IN" sz="2800" b="1"/>
        </a:p>
      </xdr:txBody>
    </xdr:sp>
    <xdr:clientData/>
  </xdr:twoCellAnchor>
  <xdr:twoCellAnchor>
    <xdr:from>
      <xdr:col>23</xdr:col>
      <xdr:colOff>571064</xdr:colOff>
      <xdr:row>8</xdr:row>
      <xdr:rowOff>131379</xdr:rowOff>
    </xdr:from>
    <xdr:to>
      <xdr:col>26</xdr:col>
      <xdr:colOff>360857</xdr:colOff>
      <xdr:row>10</xdr:row>
      <xdr:rowOff>63063</xdr:rowOff>
    </xdr:to>
    <xdr:sp macro="" textlink="">
      <xdr:nvSpPr>
        <xdr:cNvPr id="17" name="TextBox 16">
          <a:extLst>
            <a:ext uri="{FF2B5EF4-FFF2-40B4-BE49-F238E27FC236}">
              <a16:creationId xmlns:a16="http://schemas.microsoft.com/office/drawing/2014/main" id="{A90A2AC5-2E5E-43C1-B50F-44F353BE3790}"/>
            </a:ext>
          </a:extLst>
        </xdr:cNvPr>
        <xdr:cNvSpPr txBox="1"/>
      </xdr:nvSpPr>
      <xdr:spPr>
        <a:xfrm>
          <a:off x="23422305" y="1602827"/>
          <a:ext cx="1629104" cy="29954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rgbClr val="FF0000"/>
              </a:solidFill>
            </a:rPr>
            <a:t>Total</a:t>
          </a:r>
          <a:r>
            <a:rPr lang="en-IN" sz="1200" b="1" baseline="0">
              <a:solidFill>
                <a:srgbClr val="FF0000"/>
              </a:solidFill>
            </a:rPr>
            <a:t> Price of Coins</a:t>
          </a:r>
          <a:endParaRPr lang="en-IN" sz="12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192243</xdr:colOff>
      <xdr:row>14</xdr:row>
      <xdr:rowOff>149415</xdr:rowOff>
    </xdr:from>
    <xdr:to>
      <xdr:col>13</xdr:col>
      <xdr:colOff>446244</xdr:colOff>
      <xdr:row>33</xdr:row>
      <xdr:rowOff>149414</xdr:rowOff>
    </xdr:to>
    <xdr:graphicFrame macro="">
      <xdr:nvGraphicFramePr>
        <xdr:cNvPr id="2" name="Chart 1">
          <a:extLst>
            <a:ext uri="{FF2B5EF4-FFF2-40B4-BE49-F238E27FC236}">
              <a16:creationId xmlns:a16="http://schemas.microsoft.com/office/drawing/2014/main" id="{F9ED9538-6C9D-48F5-A295-6FECE2361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214409</xdr:colOff>
      <xdr:row>35</xdr:row>
      <xdr:rowOff>0</xdr:rowOff>
    </xdr:from>
    <xdr:to>
      <xdr:col>13</xdr:col>
      <xdr:colOff>333686</xdr:colOff>
      <xdr:row>56</xdr:row>
      <xdr:rowOff>33867</xdr:rowOff>
    </xdr:to>
    <xdr:graphicFrame macro="">
      <xdr:nvGraphicFramePr>
        <xdr:cNvPr id="3" name="Chart 2">
          <a:extLst>
            <a:ext uri="{FF2B5EF4-FFF2-40B4-BE49-F238E27FC236}">
              <a16:creationId xmlns:a16="http://schemas.microsoft.com/office/drawing/2014/main" id="{0BE024B3-AB4A-4458-B7CC-FFE6EBCC3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140448</xdr:colOff>
      <xdr:row>34</xdr:row>
      <xdr:rowOff>142336</xdr:rowOff>
    </xdr:from>
    <xdr:to>
      <xdr:col>30</xdr:col>
      <xdr:colOff>409389</xdr:colOff>
      <xdr:row>56</xdr:row>
      <xdr:rowOff>84667</xdr:rowOff>
    </xdr:to>
    <xdr:graphicFrame macro="">
      <xdr:nvGraphicFramePr>
        <xdr:cNvPr id="4" name="Chart 3">
          <a:extLst>
            <a:ext uri="{FF2B5EF4-FFF2-40B4-BE49-F238E27FC236}">
              <a16:creationId xmlns:a16="http://schemas.microsoft.com/office/drawing/2014/main" id="{D11BFBD6-9069-4F32-B140-E73E8C621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119530</xdr:colOff>
      <xdr:row>14</xdr:row>
      <xdr:rowOff>64746</xdr:rowOff>
    </xdr:from>
    <xdr:to>
      <xdr:col>30</xdr:col>
      <xdr:colOff>344590</xdr:colOff>
      <xdr:row>33</xdr:row>
      <xdr:rowOff>64745</xdr:rowOff>
    </xdr:to>
    <xdr:graphicFrame macro="">
      <xdr:nvGraphicFramePr>
        <xdr:cNvPr id="5" name="Chart 4">
          <a:extLst>
            <a:ext uri="{FF2B5EF4-FFF2-40B4-BE49-F238E27FC236}">
              <a16:creationId xmlns:a16="http://schemas.microsoft.com/office/drawing/2014/main" id="{FF14E0A6-29B7-435C-A76C-C5DB71175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226429</xdr:colOff>
      <xdr:row>5</xdr:row>
      <xdr:rowOff>152402</xdr:rowOff>
    </xdr:from>
    <xdr:to>
      <xdr:col>8</xdr:col>
      <xdr:colOff>431301</xdr:colOff>
      <xdr:row>13</xdr:row>
      <xdr:rowOff>85664</xdr:rowOff>
    </xdr:to>
    <xdr:sp macro="" textlink="Pivot_Charts!W4">
      <xdr:nvSpPr>
        <xdr:cNvPr id="6" name="Rectangle: Rounded Corners 5">
          <a:extLst>
            <a:ext uri="{FF2B5EF4-FFF2-40B4-BE49-F238E27FC236}">
              <a16:creationId xmlns:a16="http://schemas.microsoft.com/office/drawing/2014/main" id="{EB333E91-3470-4501-BD78-A027B741E2C7}"/>
            </a:ext>
          </a:extLst>
        </xdr:cNvPr>
        <xdr:cNvSpPr/>
      </xdr:nvSpPr>
      <xdr:spPr>
        <a:xfrm>
          <a:off x="2055229" y="1083735"/>
          <a:ext cx="3252872" cy="1423396"/>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B04F4D-97C8-4480-AC8D-BA98208215D1}" type="TxLink">
            <a:rPr lang="en-US" sz="2000" b="1" i="0" u="none" strike="noStrike">
              <a:solidFill>
                <a:srgbClr val="000000"/>
              </a:solidFill>
              <a:latin typeface="Calibri"/>
              <a:ea typeface="Calibri"/>
              <a:cs typeface="Calibri"/>
            </a:rPr>
            <a:pPr algn="ctr"/>
            <a:t>2.0849E+12</a:t>
          </a:fld>
          <a:endParaRPr lang="en-IN" sz="2000" b="1"/>
        </a:p>
      </xdr:txBody>
    </xdr:sp>
    <xdr:clientData/>
  </xdr:twoCellAnchor>
  <xdr:twoCellAnchor>
    <xdr:from>
      <xdr:col>3</xdr:col>
      <xdr:colOff>273211</xdr:colOff>
      <xdr:row>5</xdr:row>
      <xdr:rowOff>181287</xdr:rowOff>
    </xdr:from>
    <xdr:to>
      <xdr:col>8</xdr:col>
      <xdr:colOff>405404</xdr:colOff>
      <xdr:row>8</xdr:row>
      <xdr:rowOff>106579</xdr:rowOff>
    </xdr:to>
    <xdr:sp macro="" textlink="">
      <xdr:nvSpPr>
        <xdr:cNvPr id="7" name="TextBox 6">
          <a:extLst>
            <a:ext uri="{FF2B5EF4-FFF2-40B4-BE49-F238E27FC236}">
              <a16:creationId xmlns:a16="http://schemas.microsoft.com/office/drawing/2014/main" id="{D18C247E-C937-46F8-9372-7E76FC070D5E}"/>
            </a:ext>
          </a:extLst>
        </xdr:cNvPr>
        <xdr:cNvSpPr txBox="1"/>
      </xdr:nvSpPr>
      <xdr:spPr>
        <a:xfrm>
          <a:off x="2102011" y="1112620"/>
          <a:ext cx="3180193" cy="48409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Sum</a:t>
          </a:r>
          <a:r>
            <a:rPr lang="en-IN" sz="1600" b="1" baseline="0">
              <a:solidFill>
                <a:srgbClr val="FF0000"/>
              </a:solidFill>
            </a:rPr>
            <a:t> of Market Capital</a:t>
          </a:r>
          <a:endParaRPr lang="en-IN" sz="1600" b="1">
            <a:solidFill>
              <a:srgbClr val="FF0000"/>
            </a:solidFill>
          </a:endParaRPr>
        </a:p>
      </xdr:txBody>
    </xdr:sp>
    <xdr:clientData/>
  </xdr:twoCellAnchor>
  <xdr:twoCellAnchor>
    <xdr:from>
      <xdr:col>14</xdr:col>
      <xdr:colOff>1054847</xdr:colOff>
      <xdr:row>6</xdr:row>
      <xdr:rowOff>33868</xdr:rowOff>
    </xdr:from>
    <xdr:to>
      <xdr:col>15</xdr:col>
      <xdr:colOff>292846</xdr:colOff>
      <xdr:row>14</xdr:row>
      <xdr:rowOff>135466</xdr:rowOff>
    </xdr:to>
    <xdr:sp macro="" textlink="Pivot_Charts!W10">
      <xdr:nvSpPr>
        <xdr:cNvPr id="8" name="Rectangle: Rounded Corners 7">
          <a:extLst>
            <a:ext uri="{FF2B5EF4-FFF2-40B4-BE49-F238E27FC236}">
              <a16:creationId xmlns:a16="http://schemas.microsoft.com/office/drawing/2014/main" id="{238E6EA0-2025-494D-AB41-E4794D97907D}"/>
            </a:ext>
          </a:extLst>
        </xdr:cNvPr>
        <xdr:cNvSpPr/>
      </xdr:nvSpPr>
      <xdr:spPr>
        <a:xfrm>
          <a:off x="9589247" y="1151468"/>
          <a:ext cx="3420532" cy="1591731"/>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A16C66D-F71E-45A3-8E71-642AADDDA3FF}" type="TxLink">
            <a:rPr lang="en-US" sz="2000" b="1" i="0" u="none" strike="noStrike">
              <a:solidFill>
                <a:srgbClr val="000000"/>
              </a:solidFill>
              <a:latin typeface="Calibri"/>
              <a:ea typeface="Calibri"/>
              <a:cs typeface="Calibri"/>
            </a:rPr>
            <a:pPr algn="ctr"/>
            <a:t>5.47408E+15</a:t>
          </a:fld>
          <a:endParaRPr lang="en-IN" sz="2000" b="1"/>
        </a:p>
      </xdr:txBody>
    </xdr:sp>
    <xdr:clientData/>
  </xdr:twoCellAnchor>
  <xdr:twoCellAnchor>
    <xdr:from>
      <xdr:col>14</xdr:col>
      <xdr:colOff>1129554</xdr:colOff>
      <xdr:row>6</xdr:row>
      <xdr:rowOff>84667</xdr:rowOff>
    </xdr:from>
    <xdr:to>
      <xdr:col>15</xdr:col>
      <xdr:colOff>233083</xdr:colOff>
      <xdr:row>9</xdr:row>
      <xdr:rowOff>2988</xdr:rowOff>
    </xdr:to>
    <xdr:sp macro="" textlink="">
      <xdr:nvSpPr>
        <xdr:cNvPr id="9" name="TextBox 8">
          <a:extLst>
            <a:ext uri="{FF2B5EF4-FFF2-40B4-BE49-F238E27FC236}">
              <a16:creationId xmlns:a16="http://schemas.microsoft.com/office/drawing/2014/main" id="{0498C97B-3436-49BB-AFA8-6A053B7BCFAB}"/>
            </a:ext>
          </a:extLst>
        </xdr:cNvPr>
        <xdr:cNvSpPr txBox="1"/>
      </xdr:nvSpPr>
      <xdr:spPr>
        <a:xfrm rot="10800000" flipV="1">
          <a:off x="9663954" y="1202267"/>
          <a:ext cx="3286062" cy="47712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Total</a:t>
          </a:r>
          <a:r>
            <a:rPr lang="en-IN" sz="1600" b="1" baseline="0">
              <a:solidFill>
                <a:srgbClr val="FF0000"/>
              </a:solidFill>
            </a:rPr>
            <a:t> </a:t>
          </a:r>
          <a:r>
            <a:rPr lang="en-IN" sz="1800" b="1" baseline="0">
              <a:solidFill>
                <a:srgbClr val="FF0000"/>
              </a:solidFill>
            </a:rPr>
            <a:t>Circulating</a:t>
          </a:r>
          <a:r>
            <a:rPr lang="en-IN" sz="1600" b="1" baseline="0">
              <a:solidFill>
                <a:srgbClr val="FF0000"/>
              </a:solidFill>
            </a:rPr>
            <a:t> Supply</a:t>
          </a:r>
          <a:endParaRPr lang="en-IN" sz="1600" b="1">
            <a:solidFill>
              <a:srgbClr val="FF0000"/>
            </a:solidFill>
          </a:endParaRPr>
        </a:p>
      </xdr:txBody>
    </xdr:sp>
    <xdr:clientData/>
  </xdr:twoCellAnchor>
  <xdr:twoCellAnchor>
    <xdr:from>
      <xdr:col>9</xdr:col>
      <xdr:colOff>307787</xdr:colOff>
      <xdr:row>5</xdr:row>
      <xdr:rowOff>115546</xdr:rowOff>
    </xdr:from>
    <xdr:to>
      <xdr:col>14</xdr:col>
      <xdr:colOff>576730</xdr:colOff>
      <xdr:row>13</xdr:row>
      <xdr:rowOff>85662</xdr:rowOff>
    </xdr:to>
    <xdr:sp macro="" textlink="Pivot_Charts!W7">
      <xdr:nvSpPr>
        <xdr:cNvPr id="10" name="Rectangle: Rounded Corners 9">
          <a:extLst>
            <a:ext uri="{FF2B5EF4-FFF2-40B4-BE49-F238E27FC236}">
              <a16:creationId xmlns:a16="http://schemas.microsoft.com/office/drawing/2014/main" id="{4437B5F2-A4AE-47CB-AA96-89C44C33194A}"/>
            </a:ext>
          </a:extLst>
        </xdr:cNvPr>
        <xdr:cNvSpPr/>
      </xdr:nvSpPr>
      <xdr:spPr>
        <a:xfrm>
          <a:off x="5794187" y="1046879"/>
          <a:ext cx="3316943" cy="1460250"/>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CD411F-0C18-4AAF-AF66-46CA96FCD597}" type="TxLink">
            <a:rPr lang="en-US" sz="2000" b="1" i="0" u="none" strike="noStrike">
              <a:solidFill>
                <a:srgbClr val="000000"/>
              </a:solidFill>
              <a:latin typeface="Calibri"/>
              <a:ea typeface="Calibri"/>
              <a:cs typeface="Calibri"/>
            </a:rPr>
            <a:pPr algn="ctr"/>
            <a:t>77993.5252</a:t>
          </a:fld>
          <a:endParaRPr lang="en-IN" sz="2000" b="1"/>
        </a:p>
      </xdr:txBody>
    </xdr:sp>
    <xdr:clientData/>
  </xdr:twoCellAnchor>
  <xdr:twoCellAnchor>
    <xdr:from>
      <xdr:col>9</xdr:col>
      <xdr:colOff>354604</xdr:colOff>
      <xdr:row>5</xdr:row>
      <xdr:rowOff>130487</xdr:rowOff>
    </xdr:from>
    <xdr:to>
      <xdr:col>14</xdr:col>
      <xdr:colOff>533898</xdr:colOff>
      <xdr:row>8</xdr:row>
      <xdr:rowOff>40839</xdr:rowOff>
    </xdr:to>
    <xdr:sp macro="" textlink="">
      <xdr:nvSpPr>
        <xdr:cNvPr id="11" name="TextBox 10">
          <a:extLst>
            <a:ext uri="{FF2B5EF4-FFF2-40B4-BE49-F238E27FC236}">
              <a16:creationId xmlns:a16="http://schemas.microsoft.com/office/drawing/2014/main" id="{6B25EBDF-4460-4AC3-888E-A4C2F7B4E0DC}"/>
            </a:ext>
          </a:extLst>
        </xdr:cNvPr>
        <xdr:cNvSpPr txBox="1"/>
      </xdr:nvSpPr>
      <xdr:spPr>
        <a:xfrm>
          <a:off x="5841004" y="1061820"/>
          <a:ext cx="3227294" cy="46915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FF0000"/>
              </a:solidFill>
            </a:rPr>
            <a:t>Total</a:t>
          </a:r>
          <a:r>
            <a:rPr lang="en-IN" sz="1600" b="1" baseline="0">
              <a:solidFill>
                <a:srgbClr val="FF0000"/>
              </a:solidFill>
            </a:rPr>
            <a:t> Price of </a:t>
          </a:r>
          <a:r>
            <a:rPr lang="en-IN" sz="1800" b="1" baseline="0">
              <a:solidFill>
                <a:srgbClr val="FF0000"/>
              </a:solidFill>
            </a:rPr>
            <a:t>Coins</a:t>
          </a:r>
          <a:endParaRPr lang="en-IN" sz="1600" b="1">
            <a:solidFill>
              <a:srgbClr val="FF0000"/>
            </a:solidFill>
          </a:endParaRPr>
        </a:p>
      </xdr:txBody>
    </xdr:sp>
    <xdr:clientData/>
  </xdr:twoCellAnchor>
  <xdr:twoCellAnchor>
    <xdr:from>
      <xdr:col>25</xdr:col>
      <xdr:colOff>59765</xdr:colOff>
      <xdr:row>5</xdr:row>
      <xdr:rowOff>46784</xdr:rowOff>
    </xdr:from>
    <xdr:to>
      <xdr:col>30</xdr:col>
      <xdr:colOff>298824</xdr:colOff>
      <xdr:row>12</xdr:row>
      <xdr:rowOff>153396</xdr:rowOff>
    </xdr:to>
    <xdr:sp macro="" textlink="Pivot_Charts!W13">
      <xdr:nvSpPr>
        <xdr:cNvPr id="12" name="Rectangle: Rounded Corners 11">
          <a:extLst>
            <a:ext uri="{FF2B5EF4-FFF2-40B4-BE49-F238E27FC236}">
              <a16:creationId xmlns:a16="http://schemas.microsoft.com/office/drawing/2014/main" id="{86967A74-2B45-46B1-BCD4-7B5EBB80918B}"/>
            </a:ext>
          </a:extLst>
        </xdr:cNvPr>
        <xdr:cNvSpPr/>
      </xdr:nvSpPr>
      <xdr:spPr>
        <a:xfrm>
          <a:off x="17738165" y="978117"/>
          <a:ext cx="3287059" cy="1410479"/>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281279F-CC71-4B29-A9AA-6059E99FC4EA}" type="TxLink">
            <a:rPr lang="en-US" sz="2000" b="1" i="0" u="none" strike="noStrike">
              <a:solidFill>
                <a:srgbClr val="000000"/>
              </a:solidFill>
              <a:latin typeface="Calibri"/>
              <a:ea typeface="Calibri"/>
              <a:cs typeface="Calibri"/>
            </a:rPr>
            <a:pPr algn="ctr"/>
            <a:t>64381.26</a:t>
          </a:fld>
          <a:endParaRPr lang="en-IN" sz="2000" b="1"/>
        </a:p>
      </xdr:txBody>
    </xdr:sp>
    <xdr:clientData/>
  </xdr:twoCellAnchor>
  <xdr:twoCellAnchor>
    <xdr:from>
      <xdr:col>15</xdr:col>
      <xdr:colOff>903443</xdr:colOff>
      <xdr:row>5</xdr:row>
      <xdr:rowOff>63749</xdr:rowOff>
    </xdr:from>
    <xdr:to>
      <xdr:col>23</xdr:col>
      <xdr:colOff>556807</xdr:colOff>
      <xdr:row>12</xdr:row>
      <xdr:rowOff>168336</xdr:rowOff>
    </xdr:to>
    <xdr:sp macro="" textlink="Pivot_Charts!W11">
      <xdr:nvSpPr>
        <xdr:cNvPr id="13" name="Rectangle: Rounded Corners 12">
          <a:extLst>
            <a:ext uri="{FF2B5EF4-FFF2-40B4-BE49-F238E27FC236}">
              <a16:creationId xmlns:a16="http://schemas.microsoft.com/office/drawing/2014/main" id="{0F1831C3-55B4-4F11-BBE7-9935A0B37BD4}"/>
            </a:ext>
          </a:extLst>
        </xdr:cNvPr>
        <xdr:cNvSpPr/>
      </xdr:nvSpPr>
      <xdr:spPr>
        <a:xfrm>
          <a:off x="13620376" y="995082"/>
          <a:ext cx="3395631" cy="1408454"/>
        </a:xfrm>
        <a:prstGeom prst="roundRect">
          <a:avLst/>
        </a:prstGeom>
        <a:gradFill flip="none" rotWithShape="1">
          <a:gsLst>
            <a:gs pos="0">
              <a:schemeClr val="tx2">
                <a:lumMod val="40000"/>
                <a:lumOff val="60000"/>
                <a:tint val="66000"/>
                <a:satMod val="160000"/>
              </a:schemeClr>
            </a:gs>
            <a:gs pos="98000">
              <a:schemeClr val="tx2">
                <a:lumMod val="40000"/>
                <a:lumOff val="60000"/>
                <a:tint val="44500"/>
                <a:satMod val="160000"/>
              </a:schemeClr>
            </a:gs>
            <a:gs pos="0">
              <a:schemeClr val="tx2">
                <a:lumMod val="40000"/>
                <a:lumOff val="60000"/>
                <a:tint val="23500"/>
                <a:satMod val="160000"/>
              </a:schemeClr>
            </a:gs>
          </a:gsLst>
          <a:path path="circle">
            <a:fillToRect l="50000" t="50000" r="50000" b="50000"/>
          </a:path>
          <a:tileRect/>
        </a:gradFill>
        <a:ln>
          <a:solidFill>
            <a:srgbClr val="FF0000"/>
          </a:solidFill>
        </a:ln>
        <a:effectLst>
          <a:glow rad="101600">
            <a:schemeClr val="accent2">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AC8910-664A-4393-80F7-98282607B7BD}" type="TxLink">
            <a:rPr lang="en-US" sz="2000" b="1" i="0" u="none" strike="noStrike">
              <a:solidFill>
                <a:srgbClr val="000000"/>
              </a:solidFill>
              <a:latin typeface="Calibri"/>
              <a:ea typeface="Calibri"/>
              <a:cs typeface="Calibri"/>
            </a:rPr>
            <a:pPr algn="ctr"/>
            <a:t>Bitcoin</a:t>
          </a:fld>
          <a:endParaRPr lang="en-IN" sz="2000" b="1"/>
        </a:p>
      </xdr:txBody>
    </xdr:sp>
    <xdr:clientData/>
  </xdr:twoCellAnchor>
  <xdr:twoCellAnchor>
    <xdr:from>
      <xdr:col>15</xdr:col>
      <xdr:colOff>913316</xdr:colOff>
      <xdr:row>5</xdr:row>
      <xdr:rowOff>116102</xdr:rowOff>
    </xdr:from>
    <xdr:to>
      <xdr:col>23</xdr:col>
      <xdr:colOff>500030</xdr:colOff>
      <xdr:row>8</xdr:row>
      <xdr:rowOff>30878</xdr:rowOff>
    </xdr:to>
    <xdr:sp macro="" textlink="">
      <xdr:nvSpPr>
        <xdr:cNvPr id="14" name="TextBox 13">
          <a:extLst>
            <a:ext uri="{FF2B5EF4-FFF2-40B4-BE49-F238E27FC236}">
              <a16:creationId xmlns:a16="http://schemas.microsoft.com/office/drawing/2014/main" id="{06A8B10F-6956-4335-90D0-7C6050397D74}"/>
            </a:ext>
          </a:extLst>
        </xdr:cNvPr>
        <xdr:cNvSpPr txBox="1"/>
      </xdr:nvSpPr>
      <xdr:spPr>
        <a:xfrm>
          <a:off x="13630249" y="1047435"/>
          <a:ext cx="3328981" cy="4735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Top</a:t>
          </a:r>
          <a:r>
            <a:rPr lang="en-IN" sz="1800" b="1" baseline="0">
              <a:solidFill>
                <a:srgbClr val="FF0000"/>
              </a:solidFill>
            </a:rPr>
            <a:t> Price Coin</a:t>
          </a:r>
          <a:endParaRPr lang="en-IN" sz="1800" b="1">
            <a:solidFill>
              <a:srgbClr val="FF0000"/>
            </a:solidFill>
          </a:endParaRPr>
        </a:p>
      </xdr:txBody>
    </xdr:sp>
    <xdr:clientData/>
  </xdr:twoCellAnchor>
  <xdr:twoCellAnchor>
    <xdr:from>
      <xdr:col>25</xdr:col>
      <xdr:colOff>117539</xdr:colOff>
      <xdr:row>5</xdr:row>
      <xdr:rowOff>56710</xdr:rowOff>
    </xdr:from>
    <xdr:to>
      <xdr:col>30</xdr:col>
      <xdr:colOff>207186</xdr:colOff>
      <xdr:row>7</xdr:row>
      <xdr:rowOff>172321</xdr:rowOff>
    </xdr:to>
    <xdr:sp macro="" textlink="">
      <xdr:nvSpPr>
        <xdr:cNvPr id="15" name="TextBox 14">
          <a:extLst>
            <a:ext uri="{FF2B5EF4-FFF2-40B4-BE49-F238E27FC236}">
              <a16:creationId xmlns:a16="http://schemas.microsoft.com/office/drawing/2014/main" id="{8C64F183-247B-41F4-AF18-B54E6D8EFB42}"/>
            </a:ext>
          </a:extLst>
        </xdr:cNvPr>
        <xdr:cNvSpPr txBox="1"/>
      </xdr:nvSpPr>
      <xdr:spPr>
        <a:xfrm>
          <a:off x="17795939" y="988043"/>
          <a:ext cx="3137647" cy="48814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FF0000"/>
              </a:solidFill>
            </a:rPr>
            <a:t>Price</a:t>
          </a:r>
          <a:r>
            <a:rPr lang="en-IN" sz="1800" b="1" baseline="0">
              <a:solidFill>
                <a:srgbClr val="FF0000"/>
              </a:solidFill>
            </a:rPr>
            <a:t> of Top Coin</a:t>
          </a:r>
          <a:endParaRPr lang="en-IN" sz="1800" b="1">
            <a:solidFill>
              <a:srgbClr val="FF0000"/>
            </a:solidFill>
          </a:endParaRPr>
        </a:p>
      </xdr:txBody>
    </xdr:sp>
    <xdr:clientData/>
  </xdr:twoCellAnchor>
  <xdr:twoCellAnchor editAs="oneCell">
    <xdr:from>
      <xdr:col>14</xdr:col>
      <xdr:colOff>1122580</xdr:colOff>
      <xdr:row>16</xdr:row>
      <xdr:rowOff>77689</xdr:rowOff>
    </xdr:from>
    <xdr:to>
      <xdr:col>15</xdr:col>
      <xdr:colOff>174907</xdr:colOff>
      <xdr:row>32</xdr:row>
      <xdr:rowOff>129489</xdr:rowOff>
    </xdr:to>
    <mc:AlternateContent xmlns:mc="http://schemas.openxmlformats.org/markup-compatibility/2006">
      <mc:Choice xmlns:a14="http://schemas.microsoft.com/office/drawing/2010/main" Requires="a14">
        <xdr:graphicFrame macro="">
          <xdr:nvGraphicFramePr>
            <xdr:cNvPr id="16" name="Price Range 1">
              <a:extLst>
                <a:ext uri="{FF2B5EF4-FFF2-40B4-BE49-F238E27FC236}">
                  <a16:creationId xmlns:a16="http://schemas.microsoft.com/office/drawing/2014/main" id="{44EADF6C-4AB7-4DCE-9FDB-38B8EBBCB000}"/>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9656980" y="3057956"/>
              <a:ext cx="3353394" cy="3032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194235</xdr:colOff>
      <xdr:row>0</xdr:row>
      <xdr:rowOff>44824</xdr:rowOff>
    </xdr:from>
    <xdr:to>
      <xdr:col>30</xdr:col>
      <xdr:colOff>328706</xdr:colOff>
      <xdr:row>5</xdr:row>
      <xdr:rowOff>0</xdr:rowOff>
    </xdr:to>
    <xdr:sp macro="" textlink="">
      <xdr:nvSpPr>
        <xdr:cNvPr id="17" name="TextBox 16">
          <a:extLst>
            <a:ext uri="{FF2B5EF4-FFF2-40B4-BE49-F238E27FC236}">
              <a16:creationId xmlns:a16="http://schemas.microsoft.com/office/drawing/2014/main" id="{68C41DDC-5E12-AB17-A6B4-6149E0AF559A}"/>
            </a:ext>
          </a:extLst>
        </xdr:cNvPr>
        <xdr:cNvSpPr txBox="1"/>
      </xdr:nvSpPr>
      <xdr:spPr>
        <a:xfrm>
          <a:off x="2023035" y="44824"/>
          <a:ext cx="19032071" cy="8865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b="1">
              <a:solidFill>
                <a:schemeClr val="bg1"/>
              </a:solidFill>
            </a:rPr>
            <a:t>Crypto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34.763145486111" createdVersion="8" refreshedVersion="8" minRefreshableVersion="3" recordCount="276" xr:uid="{7D33997F-9FD7-4567-890E-9F89DD6383BE}">
  <cacheSource type="worksheet">
    <worksheetSource name="Cleaned_data"/>
  </cacheSource>
  <cacheFields count="13">
    <cacheField name="Coin Name" numFmtId="0">
      <sharedItems count="276">
        <s v="CoinMarketCap 20 Index DTF"/>
        <s v="Bitcoin"/>
        <s v="Ethereum"/>
        <s v="Tether"/>
        <s v="BNB"/>
        <s v="USDC"/>
        <s v="XRP"/>
        <s v="Solana"/>
        <s v="TRON"/>
        <s v="Hyperliquid"/>
        <s v="Dogecoin"/>
        <s v="UNUS SED LEO"/>
        <s v="Zcash"/>
        <s v="Monero"/>
        <s v="Chainlink"/>
        <s v="KAITO"/>
        <s v="LayerZero"/>
        <s v="AINFT"/>
        <s v="BitTorrent [New]"/>
        <s v="Jito"/>
        <s v="Stacks"/>
        <s v="Bitcoin SV"/>
        <s v="Monad"/>
        <s v="Bonk"/>
        <s v="Pendle"/>
        <s v="Conflux"/>
        <s v="Decred"/>
        <s v="Tezos"/>
        <s v="Immutable"/>
        <s v="JasmyCoin"/>
        <s v="Rain"/>
        <s v="Decimal"/>
        <s v="Ondo US Dollar Yield"/>
        <s v="HTX"/>
        <s v="Falcon USD"/>
        <s v="USDGO"/>
        <s v="c8ntinuum"/>
        <s v="Jupiter Perps LP"/>
        <s v="Beldex"/>
        <s v="GHO"/>
        <s v="Solstice USX"/>
        <s v="Unibase"/>
        <s v="Ducky"/>
        <s v="Qubic"/>
        <s v="XPIN Network"/>
        <s v="Ravencoin"/>
        <s v="Cap"/>
        <s v="ZIGChain"/>
        <s v="Billions Network"/>
        <s v="Magma Finance"/>
        <s v="Jelly-My-Jelly"/>
        <s v="Allora"/>
        <s v="Kusama"/>
        <s v="OpenLedger"/>
        <s v="Nano"/>
        <s v="Lorenzo Protocol"/>
        <s v="Mina"/>
        <s v="FUNToken"/>
        <s v="NVIDIA Tokenized Stock (Ondo)"/>
        <s v="Mog Coin"/>
        <s v="Eurite"/>
        <s v="Brett (Based)"/>
        <s v="Lombard"/>
        <s v="Peanut the Squirrel"/>
        <s v="Gemini Dollar"/>
        <s v="Paycoin"/>
        <s v="Purr"/>
        <s v="Fractal Bitcoin"/>
        <s v="Irys"/>
        <s v="Celo"/>
        <s v="BUSD"/>
        <s v="Tellor"/>
        <s v="Ontology"/>
        <s v="Casper"/>
        <s v="Impossible Cloud Network"/>
        <s v="Block Street"/>
        <s v="Bancor"/>
        <s v="Wiki Cat"/>
        <s v="Siacoin"/>
        <s v="Sahara AI"/>
        <s v="Hims &amp; Hers Health Tokenized Stock (Ondo)"/>
        <s v="Avantis"/>
        <s v="Manta Network"/>
        <s v="Collect on Fanable"/>
        <s v="iShares MSCI South Korea ETF Tokenized bStocks"/>
        <s v="deBridge"/>
        <s v="Vana"/>
        <s v="Osmosis"/>
        <s v="IOST"/>
        <s v="SNC SCANDIC COIN"/>
        <s v="IoTeX"/>
        <s v="World Mobile Token"/>
        <s v="Bounce Token"/>
        <s v="Somnia"/>
        <s v="Metal DAO"/>
        <s v="MetaMask USD"/>
        <s v="Steem"/>
        <s v="OpenAI_x000a_Pre-IPO stock (Republic)"/>
        <s v="Cartesi"/>
        <s v="τemplar"/>
        <s v="Storj"/>
        <s v="TokenPocket"/>
        <s v="Humidifi"/>
        <s v="Shentu"/>
        <s v="Global Commercial Business"/>
        <s v="pippin"/>
        <s v="RIZE"/>
        <s v="Tensor"/>
        <s v="Adshares"/>
        <s v="Flux"/>
        <s v="TAC Protocol"/>
        <s v="Blast"/>
        <s v="Araracoin"/>
        <s v="Fulcrom Finance"/>
        <s v="Yei Finance"/>
        <s v="WalletConnect Token"/>
        <s v="STBL"/>
        <s v="Radworks"/>
        <s v="INFINIT"/>
        <s v="Celer Network"/>
        <s v="Orchid"/>
        <s v="SaucerSwap"/>
        <s v="CZ's Dog"/>
        <s v="Wirex Token"/>
        <s v="OG Fan Token"/>
        <s v="XSGD"/>
        <s v="tokenbot"/>
        <s v="ROGin AI"/>
        <s v="Biconomy"/>
        <s v="Micron Technology tokenized stock (xStock)"/>
        <s v="AITECH Cloud Network"/>
        <s v="XION"/>
        <s v="Boba Network"/>
        <s v="Moonbeam"/>
        <s v="Dolomite"/>
        <s v="Space and Time"/>
        <s v="AriaAI"/>
        <s v="ResearchCoin"/>
        <s v="Just a chill guy"/>
        <s v="Intuition"/>
        <s v="Vow"/>
        <s v="Redbelly Network"/>
        <s v="KernelDAO"/>
        <s v="Avail"/>
        <s v="Vanar Chain"/>
        <s v="MyShell"/>
        <s v="Telos"/>
        <s v="iShares 0-3 Month Treasury Bond Tokenized ETF (Ondo)"/>
        <s v="AVA"/>
        <s v="DACXI"/>
        <s v="Hashflow"/>
        <s v="SK hynix tokenized stock (xStock)"/>
        <s v="iShares MSCI Emerging Markets Tokenized ETF (Ondo)"/>
        <s v="Ika"/>
        <s v="Micron Technology Inc tokenized stock (Backpack)"/>
        <s v="AS Roma Fan Token"/>
        <s v="Tradoor"/>
        <s v="ULTILAND"/>
        <s v="Alltoscan"/>
        <s v="Hyperion"/>
        <s v="Grove"/>
        <s v="MAP Protocol"/>
        <s v="Elastos"/>
        <s v="NetX"/>
        <s v="Layer3"/>
        <s v="ProShares UltraPro QQQ Tokenized Stock (Ondo)"/>
        <s v="LimeWire"/>
        <s v="iShares Russell 2000 Value Tokenized ETF (Ondo)"/>
        <s v="Utrust"/>
        <s v="RACA"/>
        <s v="Beta Finance"/>
        <s v="Open Loot"/>
        <s v="Landwolf 0x67"/>
        <s v="Viction"/>
        <s v="CONX"/>
        <s v="Lingo"/>
        <s v="NEM"/>
        <s v="Lava Network"/>
        <s v="AIVille Governance Token"/>
        <s v="WhiteCoin"/>
        <s v="Lockheed Tokenized Stock (Ondo)"/>
        <s v="Tokemak"/>
        <s v="ShareX"/>
        <s v="CateCoin"/>
        <s v="Giant Mammoth"/>
        <s v="Sui Name Service"/>
        <s v="Ren"/>
        <s v="Apple Tokenized bStocks"/>
        <s v="Gems"/>
        <s v="AST SpaceMobile Tokenized Stock (Ondo)"/>
        <s v="GamerCoin"/>
        <s v="Buying.com"/>
        <s v="VitaDAO"/>
        <s v="Liqwid Finance"/>
        <s v="CESS Network"/>
        <s v="Games for a Living"/>
        <s v="TrustSwap"/>
        <s v="Yee Token"/>
        <s v="World3"/>
        <s v="AMD Tokenized Stock (Reality)"/>
        <s v="iShares MSCI South Korea tokenized ETF (xStock)"/>
        <s v="Chevron Tokenized Stock (Ondo)"/>
        <s v="Global X DRAM ETF Tokenized Stock (Reality)"/>
        <s v="Not Pixel"/>
        <s v="Free Joby"/>
        <s v="Forest Protocol"/>
        <s v="错版马"/>
        <s v="Star Atlas DAO"/>
        <s v="Tectum"/>
        <s v="VOOI"/>
        <s v="GOLDAO"/>
        <s v="Novo Nordisk Tokenized Stock (Ondo)"/>
        <s v="Inter Milan Fan Token"/>
        <s v="Meta Tokenized Stock (Reality)"/>
        <s v="Flying Tulip"/>
        <s v="Sharp"/>
        <s v="401jK"/>
        <s v="IREN Tokenized Stock (Ondo)"/>
        <s v="Humans.ai"/>
        <s v="Microsoft Tokenized Stock (Reality)"/>
        <s v="Toyota Tokenized Stock (Ondo)"/>
        <s v="WYDE: End Hunger"/>
        <s v="OneFootball Credits"/>
        <s v="Visa Tokenized Stock (Ondo)"/>
        <s v="Streamflow"/>
        <s v="Tarot"/>
        <s v="Microsoft Tokenized bStocks"/>
        <s v="Rarible"/>
        <s v="Troll (troll.run)"/>
        <s v="Infrared"/>
        <s v="iMe Lab"/>
        <s v="Blockchain Foundation for Innovation &amp; Collaboration"/>
        <s v="OpenChat"/>
        <s v="Reserve AI Photonics Tokenized DTF"/>
        <s v="Western Digital Tokenized bStocks"/>
        <s v="Tharwa"/>
        <s v="donotfomoew"/>
        <s v="GALAXIA"/>
        <s v="Tenset"/>
        <s v="Metacade"/>
        <s v="Adappter Token"/>
        <s v="Baidu Tokenized Stock (Ondo)"/>
        <s v="Kori The Pom"/>
        <s v="Wells Fargo Tokenized Stock (Ondo)"/>
        <s v="Scallop"/>
        <s v="Netflix tokenized stock (xStock)"/>
        <s v="POOH"/>
        <s v="GemHUB"/>
        <s v="DerivaDAO"/>
        <s v="Tottenham Hotspur Fan Token"/>
        <s v="Prosper"/>
        <s v="Mistery On Cro"/>
        <s v="McDonald's tokenized stock (xStock)"/>
        <s v="UNCX Network"/>
        <s v="NuNet"/>
        <s v="Zyfai"/>
        <s v="Radiant"/>
        <s v="Bitmine Tokenised Stock (xStock)"/>
        <s v="GameFi.org"/>
        <s v="Hoppy (hoppy.vip)"/>
        <s v="Portugal National Team Fan Token"/>
        <s v="Pirate Nation"/>
        <s v="Saito"/>
        <s v="BeB"/>
        <s v="Rocket Lab Tokenized bStocks"/>
        <s v="Komodo"/>
        <s v="Samoyedcoin"/>
        <s v="Openverse Network"/>
        <s v="Kima Network"/>
        <s v="Bloom Energy Tokenized Stock (Ondo)"/>
        <s v="Piggycell"/>
        <s v="Echelon (EchelonMarket)"/>
        <s v="Sportbet.one Token"/>
        <s v="Reality Metaverse"/>
        <s v="Netflix Tokenized Stock (Ondo)"/>
        <s v="Exxon Mobil tokenized stock (xStock)"/>
      </sharedItems>
    </cacheField>
    <cacheField name="Symbol" numFmtId="0">
      <sharedItems count="276">
        <s v="CMC20"/>
        <s v="BTC"/>
        <s v="ETH"/>
        <s v="USDT"/>
        <s v="BNB"/>
        <s v="USDC"/>
        <s v="XRP"/>
        <s v="SOL"/>
        <s v="TRX"/>
        <s v="HYPE"/>
        <s v="DOGE"/>
        <s v="LEO"/>
        <s v="ZEC"/>
        <s v="XMR"/>
        <s v="LINK"/>
        <s v="KAITO"/>
        <s v="ZRO"/>
        <s v="NFT"/>
        <s v="BTT"/>
        <s v="JTO"/>
        <s v="STX"/>
        <s v="BSV"/>
        <s v="MON"/>
        <s v="BONK"/>
        <s v="PENDLE"/>
        <s v="CFX"/>
        <s v="DCR"/>
        <s v="XTZ"/>
        <s v="IMX"/>
        <s v="JASMY"/>
        <s v="RAIN"/>
        <s v="DEL"/>
        <s v="USDY"/>
        <s v="HTX"/>
        <s v="USDf"/>
        <s v="USDGO"/>
        <s v="CTM"/>
        <s v="JLP"/>
        <s v="BDX"/>
        <s v="GHO"/>
        <s v="USX"/>
        <s v="UB"/>
        <s v="DUCKY"/>
        <s v="QUBIC"/>
        <s v="XPIN"/>
        <s v="RVN"/>
        <s v="CAP"/>
        <s v="ZIG"/>
        <s v="BILL"/>
        <s v="MAGMA"/>
        <s v="JELLYJELLY"/>
        <s v="ALLO"/>
        <s v="KSM"/>
        <s v="OPEN"/>
        <s v="XNO"/>
        <s v="BANK"/>
        <s v="MINA"/>
        <s v="FUN"/>
        <s v="NVDAon"/>
        <s v="MOG"/>
        <s v="EURI"/>
        <s v="BRETT"/>
        <s v="BARD"/>
        <s v="PNUT"/>
        <s v="GUSD"/>
        <s v="PCI"/>
        <s v="PURR"/>
        <s v="FB"/>
        <s v="IRYS"/>
        <s v="CELO"/>
        <s v="BUSD"/>
        <s v="TRB"/>
        <s v="ONT"/>
        <s v="CSPR"/>
        <s v="ICNT"/>
        <s v="BSB"/>
        <s v="BNT"/>
        <s v="WKC"/>
        <s v="SC"/>
        <s v="SAHARA"/>
        <s v="HIMSon"/>
        <s v="AVNT"/>
        <s v="MANTA"/>
        <s v="COLLECT"/>
        <s v="EWYB"/>
        <s v="DBR"/>
        <s v="VANA"/>
        <s v="OSMO"/>
        <s v="IOST"/>
        <s v="SNC"/>
        <s v="IOTX"/>
        <s v="WMTX"/>
        <s v="AUCTION"/>
        <s v="SOMI"/>
        <s v="MTL"/>
        <s v="mUSD"/>
        <s v="STEEM"/>
        <s v="preOPAI"/>
        <s v="CTSI"/>
        <s v="SN3"/>
        <s v="STORJ"/>
        <s v="TPT"/>
        <s v="WET"/>
        <s v="CTK"/>
        <s v="GCB"/>
        <s v="PIPPIN"/>
        <s v="RIZE"/>
        <s v="TNSR"/>
        <s v="ADS"/>
        <s v="FLUX"/>
        <s v="TAC"/>
        <s v="BLAST"/>
        <s v="ARARA"/>
        <s v="FUL"/>
        <s v="CLO"/>
        <s v="WCT"/>
        <s v="STBL"/>
        <s v="RAD"/>
        <s v="IN"/>
        <s v="CELR"/>
        <s v="OXT"/>
        <s v="SAUCE"/>
        <s v="BROCCOLI"/>
        <s v="WXT"/>
        <s v="OG"/>
        <s v="XSGD"/>
        <s v="CLANKER"/>
        <s v="ROG"/>
        <s v="BICO"/>
        <s v="MUx"/>
        <s v="ACN"/>
        <s v="XION"/>
        <s v="BOBA"/>
        <s v="GLMR"/>
        <s v="DOLO"/>
        <s v="SXT"/>
        <s v="ARIA"/>
        <s v="RSC"/>
        <s v="CHILLGUY"/>
        <s v="TRUST"/>
        <s v="VOW"/>
        <s v="RBNT"/>
        <s v="KERNEL"/>
        <s v="AVAIL"/>
        <s v="VANRY"/>
        <s v="SHELL"/>
        <s v="TLOS"/>
        <s v="SGOVon"/>
        <s v="AVA"/>
        <s v="DXI"/>
        <s v="HFT"/>
        <s v="SKHYx"/>
        <s v="EEMon"/>
        <s v="IKA"/>
        <s v="MU"/>
        <s v="ASR"/>
        <s v="TRADOOR"/>
        <s v="ARTX"/>
        <s v="ATS"/>
        <s v="RION"/>
        <s v="GROVE"/>
        <s v="MAPO"/>
        <s v="ELA"/>
        <s v="NETX"/>
        <s v="L3"/>
        <s v="TQQQon"/>
        <s v="LMWR"/>
        <s v="IWNon"/>
        <s v="UTK"/>
        <s v="RACA"/>
        <s v="BETA"/>
        <s v="OL"/>
        <s v="WOLF"/>
        <s v="VIC"/>
        <s v="XPLA"/>
        <s v="LINGO"/>
        <s v="XEM"/>
        <s v="LAVA"/>
        <s v="AIV"/>
        <s v="XWC"/>
        <s v="LMTon"/>
        <s v="TOKE"/>
        <s v="SHARE"/>
        <s v="CATE"/>
        <s v="GMMT"/>
        <s v="NS"/>
        <s v="REN"/>
        <s v="AAPLB"/>
        <s v="GEMS"/>
        <s v="ASTSon"/>
        <s v="GHX"/>
        <s v="BUY"/>
        <s v="VITA"/>
        <s v="LQ"/>
        <s v="CESS"/>
        <s v="GFAL"/>
        <s v="SWAP"/>
        <s v="YEE"/>
        <s v="WAI"/>
        <s v="rAMD"/>
        <s v="EWYx"/>
        <s v="CVXon"/>
        <s v="rDRAM"/>
        <s v="PX"/>
        <s v="JOBY"/>
        <s v="FOREST"/>
        <s v="哭哭马"/>
        <s v="POLIS"/>
        <s v="TET"/>
        <s v="VOOI"/>
        <s v="GOLDAO"/>
        <s v="NVOon"/>
        <s v="INTER"/>
        <s v="rMETA"/>
        <s v="FT"/>
        <s v="SHARP"/>
        <s v="401JK"/>
        <s v="IRENon"/>
        <s v="HEART"/>
        <s v="rMSFT"/>
        <s v="TMon"/>
        <s v="EAT"/>
        <s v="OFC"/>
        <s v="Von"/>
        <s v="STREAM"/>
        <s v="TAROT"/>
        <s v="MSFTB"/>
        <s v="RARI"/>
        <s v="TROLL"/>
        <s v="IR"/>
        <s v="LIME"/>
        <s v="BFIC"/>
        <s v="CHAT"/>
        <s v="PHOTON"/>
        <s v="WDCB"/>
        <s v="TRWA"/>
        <s v="MOEW"/>
        <s v="GXA"/>
        <s v="10SET"/>
        <s v="MCADE"/>
        <s v="ADP"/>
        <s v="BIDUon"/>
        <s v="KORI"/>
        <s v="WFCon"/>
        <s v="SCA"/>
        <s v="NFLXX"/>
        <s v="POOH"/>
        <s v="GHUB"/>
        <s v="DDX"/>
        <s v="SPURS"/>
        <s v="PROS"/>
        <s v="MERY"/>
        <s v="MCDX"/>
        <s v="UNCX"/>
        <s v="NTX"/>
        <s v="ZFI"/>
        <s v="RXD"/>
        <s v="BMNRx"/>
        <s v="GAFI"/>
        <s v="HOPPY"/>
        <s v="POR"/>
        <s v="PIRATE"/>
        <s v="SAITO"/>
        <s v="BEB1M"/>
        <s v="RKLBB"/>
        <s v="KMD"/>
        <s v="SAMO"/>
        <s v="BTG"/>
        <s v="KIMA"/>
        <s v="BEon"/>
        <s v="PIGGY"/>
        <s v="ELON"/>
        <s v="SBET"/>
        <s v="RMV"/>
        <s v="NFLXon"/>
        <s v="XOMX"/>
      </sharedItems>
    </cacheField>
    <cacheField name="Price (USD)" numFmtId="0">
      <sharedItems containsSemiMixedTypes="0" containsString="0" containsNumber="1" minValue="0" maxValue="64381.26"/>
    </cacheField>
    <cacheField name="1h Change (%)" numFmtId="0">
      <sharedItems containsSemiMixedTypes="0" containsString="0" containsNumber="1" minValue="0" maxValue="0.13070000000000001"/>
    </cacheField>
    <cacheField name="Market Cap $" numFmtId="0">
      <sharedItems containsSemiMixedTypes="0" containsString="0" containsNumber="1" minValue="859500" maxValue="1290000000000"/>
    </cacheField>
    <cacheField name="Market Cap" numFmtId="0">
      <sharedItems/>
    </cacheField>
    <cacheField name="Volume (24h) USD $" numFmtId="0">
      <sharedItems containsSemiMixedTypes="0" containsString="0" containsNumber="1" minValue="5.87" maxValue="51600000000"/>
    </cacheField>
    <cacheField name="Volume (24h) USD" numFmtId="0">
      <sharedItems/>
    </cacheField>
    <cacheField name="Curculating Supply $" numFmtId="0">
      <sharedItems containsSemiMixedTypes="0" containsString="0" containsNumber="1" minValue="1180" maxValue="990100000000000"/>
    </cacheField>
    <cacheField name="Circulating Supply" numFmtId="0">
      <sharedItems/>
    </cacheField>
    <cacheField name="Dollar Volume Per Supply" numFmtId="0">
      <sharedItems containsSemiMixedTypes="0" containsString="0" containsNumber="1" minValue="9.127861370605434E-12" maxValue="1771.1864406779659"/>
    </cacheField>
    <cacheField name="Rank" numFmtId="0">
      <sharedItems containsSemiMixedTypes="0" containsString="0" containsNumber="1" containsInteger="1" minValue="1" maxValue="276"/>
    </cacheField>
    <cacheField name="Price Range" numFmtId="0">
      <sharedItems count="7">
        <s v="100-10000"/>
        <s v="10000+"/>
        <s v="0.5-1"/>
        <s v="1-2"/>
        <s v="10-100"/>
        <s v="0-0.5"/>
        <s v="2-10"/>
      </sharedItems>
    </cacheField>
  </cacheFields>
  <extLst>
    <ext xmlns:x14="http://schemas.microsoft.com/office/spreadsheetml/2009/9/main" uri="{725AE2AE-9491-48be-B2B4-4EB974FC3084}">
      <x14:pivotCacheDefinition pivotCacheId="2090253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x v="0"/>
    <x v="0"/>
    <n v="130.51"/>
    <n v="2.9999999999999997E-4"/>
    <n v="6160000"/>
    <s v="6.16M"/>
    <n v="1520000"/>
    <s v="1.52M"/>
    <n v="47240"/>
    <s v="47.24K"/>
    <n v="32.176121930567312"/>
    <n v="158"/>
    <x v="0"/>
  </r>
  <r>
    <x v="1"/>
    <x v="1"/>
    <n v="64381.26"/>
    <n v="1.6999999999999999E-3"/>
    <n v="1290000000000"/>
    <s v="1.29T"/>
    <n v="26760000000"/>
    <s v="26.76B"/>
    <n v="20060000"/>
    <s v="20.06M"/>
    <n v="1333.9980059820539"/>
    <n v="1"/>
    <x v="1"/>
  </r>
  <r>
    <x v="2"/>
    <x v="2"/>
    <n v="1908.06"/>
    <n v="2.5000000000000001E-3"/>
    <n v="229890000000"/>
    <s v="229.89B"/>
    <n v="8100000000"/>
    <s v="8.1B"/>
    <n v="120680000"/>
    <s v="120.68M"/>
    <n v="67.11965528670865"/>
    <n v="2"/>
    <x v="0"/>
  </r>
  <r>
    <x v="3"/>
    <x v="3"/>
    <n v="0.99909999999999999"/>
    <n v="1E-4"/>
    <n v="183620000000"/>
    <s v="183.62B"/>
    <n v="51600000000"/>
    <s v="51.6B"/>
    <n v="183810000000"/>
    <s v="183.81B"/>
    <n v="0.28072466133507429"/>
    <n v="3"/>
    <x v="2"/>
  </r>
  <r>
    <x v="4"/>
    <x v="4"/>
    <n v="591.19000000000005"/>
    <n v="2.3E-3"/>
    <n v="78700000000"/>
    <s v="78.7B"/>
    <n v="1370000000"/>
    <s v="1.37B"/>
    <n v="133160000"/>
    <s v="133.16M"/>
    <n v="10.288374887353559"/>
    <n v="4"/>
    <x v="0"/>
  </r>
  <r>
    <x v="5"/>
    <x v="5"/>
    <n v="0.99970000000000003"/>
    <n v="0"/>
    <n v="71880000000"/>
    <s v="71.88B"/>
    <n v="8650000000"/>
    <s v="8.65B"/>
    <n v="71890000000"/>
    <s v="71.89B"/>
    <n v="0.12032271525942412"/>
    <n v="5"/>
    <x v="2"/>
  </r>
  <r>
    <x v="6"/>
    <x v="6"/>
    <n v="1.08"/>
    <n v="1.4E-3"/>
    <n v="67610000000"/>
    <s v="67.61B"/>
    <n v="1020000000"/>
    <s v="1.02B"/>
    <n v="62530000000"/>
    <s v="62.53B"/>
    <n v="1.6312170158324004E-2"/>
    <n v="6"/>
    <x v="3"/>
  </r>
  <r>
    <x v="7"/>
    <x v="7"/>
    <n v="74.28"/>
    <n v="1.6999999999999999E-3"/>
    <n v="43050000000"/>
    <s v="43.05B"/>
    <n v="1570000000"/>
    <s v="1.57B"/>
    <n v="579580000"/>
    <s v="579.58M"/>
    <n v="2.7088581386521273"/>
    <n v="7"/>
    <x v="4"/>
  </r>
  <r>
    <x v="8"/>
    <x v="8"/>
    <n v="0.32850000000000001"/>
    <n v="2.9999999999999997E-4"/>
    <n v="31170000000"/>
    <s v="31.17B"/>
    <n v="439710000"/>
    <s v="439.71M"/>
    <n v="94880000000"/>
    <s v="94.88B"/>
    <n v="4.6343802698145028E-3"/>
    <n v="8"/>
    <x v="5"/>
  </r>
  <r>
    <x v="9"/>
    <x v="9"/>
    <n v="55.55"/>
    <n v="2.2000000000000001E-3"/>
    <n v="14020000000"/>
    <s v="14.02B"/>
    <n v="375470000"/>
    <s v="375.47M"/>
    <n v="252510000"/>
    <s v="252.51M"/>
    <n v="1.4869510118411151"/>
    <n v="9"/>
    <x v="4"/>
  </r>
  <r>
    <x v="10"/>
    <x v="10"/>
    <n v="7.0099999999999996E-2"/>
    <n v="6.9999999999999999E-4"/>
    <n v="10880000000"/>
    <s v="10.88B"/>
    <n v="498530000"/>
    <s v="498.53M"/>
    <n v="155290000000"/>
    <s v="155.29B"/>
    <n v="3.2103161826260544E-3"/>
    <n v="10"/>
    <x v="5"/>
  </r>
  <r>
    <x v="11"/>
    <x v="11"/>
    <n v="9.77"/>
    <n v="0"/>
    <n v="8990000000"/>
    <s v="8.99B"/>
    <n v="173460"/>
    <s v="173.46K"/>
    <n v="920070000"/>
    <s v="920.07M"/>
    <n v="1.8852913365287425E-4"/>
    <n v="12"/>
    <x v="6"/>
  </r>
  <r>
    <x v="12"/>
    <x v="12"/>
    <n v="461.81"/>
    <n v="2.8999999999999998E-3"/>
    <n v="7750000000"/>
    <s v="7.75B"/>
    <n v="292670000"/>
    <s v="292.67M"/>
    <n v="16790000"/>
    <s v="16.79M"/>
    <n v="17.431209053007741"/>
    <n v="14"/>
    <x v="0"/>
  </r>
  <r>
    <x v="13"/>
    <x v="13"/>
    <n v="353.61"/>
    <n v="5.7000000000000002E-3"/>
    <n v="6640000000"/>
    <s v="6.64B"/>
    <n v="103230000"/>
    <s v="103.23M"/>
    <n v="18780000"/>
    <s v="18.78M"/>
    <n v="5.4968051118210859"/>
    <n v="15"/>
    <x v="0"/>
  </r>
  <r>
    <x v="14"/>
    <x v="14"/>
    <n v="8.36"/>
    <n v="1.1000000000000001E-3"/>
    <n v="6250000000"/>
    <s v="6.25B"/>
    <n v="208380000"/>
    <s v="208.38M"/>
    <n v="748090000"/>
    <s v="748.09M"/>
    <n v="0.27854937240171634"/>
    <n v="16"/>
    <x v="6"/>
  </r>
  <r>
    <x v="15"/>
    <x v="15"/>
    <n v="1.1399999999999999"/>
    <n v="1.41E-2"/>
    <n v="276990000"/>
    <s v="276.99M"/>
    <n v="116250000"/>
    <s v="116.25M"/>
    <n v="241380000"/>
    <s v="241.38M"/>
    <n v="0.48160576684066619"/>
    <n v="27"/>
    <x v="3"/>
  </r>
  <r>
    <x v="16"/>
    <x v="16"/>
    <n v="0.73440000000000005"/>
    <n v="5.4000000000000003E-3"/>
    <n v="266790000.00000003"/>
    <s v="266.79M"/>
    <n v="21960000"/>
    <s v="21.96M"/>
    <n v="363280000"/>
    <s v="363.28M"/>
    <n v="6.0449240255450343E-2"/>
    <n v="28"/>
    <x v="2"/>
  </r>
  <r>
    <x v="17"/>
    <x v="17"/>
    <n v="6.2700000000000006E-2"/>
    <n v="4.7999999999999996E-3"/>
    <n v="263980000.00000003"/>
    <s v="263.98M"/>
    <n v="5860000"/>
    <s v="5.86M"/>
    <n v="990100000000000"/>
    <s v="990.1T"/>
    <n v="5.9185940814059183E-9"/>
    <n v="30"/>
    <x v="5"/>
  </r>
  <r>
    <x v="18"/>
    <x v="18"/>
    <n v="6.2600000000000003E-2"/>
    <n v="1.1999999999999999E-3"/>
    <n v="258459999.99999997"/>
    <s v="258.46M"/>
    <n v="4230000"/>
    <s v="4.23M"/>
    <n v="987030000000000"/>
    <s v="987.03T"/>
    <n v="4.2855840248016781E-9"/>
    <n v="31"/>
    <x v="5"/>
  </r>
  <r>
    <x v="19"/>
    <x v="19"/>
    <n v="0.5111"/>
    <n v="1.1299999999999999E-2"/>
    <n v="257899999.99999997"/>
    <s v="257.9M"/>
    <n v="27690000"/>
    <s v="27.69M"/>
    <n v="504560000"/>
    <s v="504.56M"/>
    <n v="5.4879498969399081E-2"/>
    <n v="32"/>
    <x v="2"/>
  </r>
  <r>
    <x v="20"/>
    <x v="20"/>
    <n v="0.1384"/>
    <n v="2.9999999999999997E-4"/>
    <n v="251190000"/>
    <s v="251.19M"/>
    <n v="5300000"/>
    <s v="5.3M"/>
    <n v="1810000000"/>
    <s v="1.81B"/>
    <n v="2.9281767955801107E-3"/>
    <n v="33"/>
    <x v="5"/>
  </r>
  <r>
    <x v="21"/>
    <x v="21"/>
    <n v="12.49"/>
    <n v="2.2000000000000001E-3"/>
    <n v="250730000"/>
    <s v="250.73M"/>
    <n v="7600000"/>
    <s v="7.6M"/>
    <n v="20060000"/>
    <s v="20.06M"/>
    <n v="0.37886340977068794"/>
    <n v="34"/>
    <x v="4"/>
  </r>
  <r>
    <x v="22"/>
    <x v="22"/>
    <n v="2.12E-2"/>
    <n v="8.6E-3"/>
    <n v="250430000"/>
    <s v="250.43M"/>
    <n v="14970000"/>
    <s v="14.97M"/>
    <n v="11820000000"/>
    <s v="11.82B"/>
    <n v="1.266497461928934E-3"/>
    <n v="35"/>
    <x v="5"/>
  </r>
  <r>
    <x v="23"/>
    <x v="23"/>
    <n v="5.28E-2"/>
    <n v="5.1999999999999998E-3"/>
    <n v="250230000"/>
    <s v="250.23M"/>
    <n v="30420000"/>
    <s v="30.42M"/>
    <n v="87990000000000"/>
    <s v="87.99T"/>
    <n v="3.4572110467098534E-7"/>
    <n v="36"/>
    <x v="5"/>
  </r>
  <r>
    <x v="24"/>
    <x v="24"/>
    <n v="1.42"/>
    <n v="1.5E-3"/>
    <n v="244250000"/>
    <s v="244.25M"/>
    <n v="24690000"/>
    <s v="24.69M"/>
    <n v="171750000"/>
    <s v="171.75M"/>
    <n v="0.14375545851528385"/>
    <n v="37"/>
    <x v="3"/>
  </r>
  <r>
    <x v="25"/>
    <x v="25"/>
    <n v="4.58E-2"/>
    <n v="1.6000000000000001E-3"/>
    <n v="239580000"/>
    <s v="239.58M"/>
    <n v="33710000"/>
    <s v="33.71M"/>
    <n v="5220000000"/>
    <s v="5.22B"/>
    <n v="6.4578544061302682E-3"/>
    <n v="38"/>
    <x v="5"/>
  </r>
  <r>
    <x v="26"/>
    <x v="26"/>
    <n v="13.65"/>
    <n v="1.4E-2"/>
    <n v="239470000"/>
    <s v="239.47M"/>
    <n v="4530000"/>
    <s v="4.53M"/>
    <n v="17530000"/>
    <s v="17.53M"/>
    <n v="0.25841414717626926"/>
    <n v="39"/>
    <x v="4"/>
  </r>
  <r>
    <x v="27"/>
    <x v="27"/>
    <n v="0.20399999999999999"/>
    <n v="2.3E-3"/>
    <n v="222830000"/>
    <s v="222.83M"/>
    <n v="4440000"/>
    <s v="4.44M"/>
    <n v="1090000000"/>
    <s v="1.09B"/>
    <n v="4.0733944954128437E-3"/>
    <n v="40"/>
    <x v="5"/>
  </r>
  <r>
    <x v="28"/>
    <x v="28"/>
    <n v="0.1076"/>
    <n v="4.1999999999999997E-3"/>
    <n v="215370000"/>
    <s v="215.37M"/>
    <n v="8590000"/>
    <s v="8.59M"/>
    <n v="2000000000"/>
    <s v="2B"/>
    <n v="4.2950000000000002E-3"/>
    <n v="41"/>
    <x v="5"/>
  </r>
  <r>
    <x v="29"/>
    <x v="29"/>
    <n v="4.3E-3"/>
    <n v="2.8999999999999998E-3"/>
    <n v="215040000"/>
    <s v="215.04M"/>
    <n v="6610000"/>
    <s v="6.61M"/>
    <n v="49440000000"/>
    <s v="49.44B"/>
    <n v="1.3369741100323625E-4"/>
    <n v="42"/>
    <x v="5"/>
  </r>
  <r>
    <x v="30"/>
    <x v="30"/>
    <n v="1.3100000000000001E-2"/>
    <n v="4.0000000000000002E-4"/>
    <n v="9120000000"/>
    <s v="9.12B"/>
    <n v="29510000"/>
    <s v="29.51M"/>
    <n v="694570000000"/>
    <s v="694.57B"/>
    <n v="4.248671840131304E-5"/>
    <n v="11"/>
    <x v="5"/>
  </r>
  <r>
    <x v="31"/>
    <x v="31"/>
    <n v="0.74590000000000001"/>
    <n v="2.3E-3"/>
    <n v="8289999999.999999"/>
    <s v="8.29B"/>
    <n v="242050"/>
    <s v="242.05K"/>
    <n v="11120000000"/>
    <s v="11.12B"/>
    <n v="2.1767086330935253E-5"/>
    <n v="13"/>
    <x v="2"/>
  </r>
  <r>
    <x v="32"/>
    <x v="32"/>
    <n v="1.1399999999999999"/>
    <n v="2.9999999999999997E-4"/>
    <n v="2150000000"/>
    <s v="2.15B"/>
    <n v="467840"/>
    <s v="467.84K"/>
    <n v="1880000000"/>
    <s v="1.88B"/>
    <n v="2.4885106382978723E-4"/>
    <n v="17"/>
    <x v="3"/>
  </r>
  <r>
    <x v="33"/>
    <x v="33"/>
    <n v="5.1799999999999999E-2"/>
    <n v="2.0000000000000001E-4"/>
    <n v="1610000000"/>
    <s v="1.61B"/>
    <n v="46150000"/>
    <s v="46.15M"/>
    <n v="898230000000000"/>
    <s v="898.23T"/>
    <n v="5.1378822795943132E-8"/>
    <n v="18"/>
    <x v="5"/>
  </r>
  <r>
    <x v="34"/>
    <x v="34"/>
    <n v="0.99529999999999996"/>
    <n v="4.0000000000000002E-4"/>
    <n v="1250000000"/>
    <s v="1.25B"/>
    <n v="542980"/>
    <s v="542.98K"/>
    <n v="1260000000"/>
    <s v="1.26B"/>
    <n v="4.3093650793650794E-4"/>
    <n v="19"/>
    <x v="2"/>
  </r>
  <r>
    <x v="35"/>
    <x v="35"/>
    <n v="0.99990000000000001"/>
    <n v="0"/>
    <n v="1100000000"/>
    <s v="1.1B"/>
    <n v="17100000"/>
    <s v="17.1M"/>
    <n v="1100000000"/>
    <s v="1.1B"/>
    <n v="1.5545454545454545E-2"/>
    <n v="20"/>
    <x v="2"/>
  </r>
  <r>
    <x v="36"/>
    <x v="36"/>
    <n v="0.19550000000000001"/>
    <n v="4.0000000000000002E-4"/>
    <n v="872040000"/>
    <s v="872.04M"/>
    <n v="14760000"/>
    <s v="14.76M"/>
    <n v="4450000000"/>
    <s v="4.45B"/>
    <n v="3.3168539325842696E-3"/>
    <n v="21"/>
    <x v="5"/>
  </r>
  <r>
    <x v="37"/>
    <x v="37"/>
    <n v="3.6"/>
    <n v="1E-3"/>
    <n v="808540000"/>
    <s v="808.54M"/>
    <n v="1890000"/>
    <s v="1.89M"/>
    <n v="224170000"/>
    <s v="224.17M"/>
    <n v="8.4311013962617663E-3"/>
    <n v="22"/>
    <x v="6"/>
  </r>
  <r>
    <x v="38"/>
    <x v="38"/>
    <n v="8.2699999999999996E-2"/>
    <n v="6.4999999999999997E-3"/>
    <n v="650920000"/>
    <s v="650.92M"/>
    <n v="11890000"/>
    <s v="11.89M"/>
    <n v="7860000000"/>
    <s v="7.86B"/>
    <n v="1.5127226463104327E-3"/>
    <n v="23"/>
    <x v="5"/>
  </r>
  <r>
    <x v="39"/>
    <x v="39"/>
    <n v="0.99829999999999997"/>
    <n v="0"/>
    <n v="647930000"/>
    <s v="647.93M"/>
    <n v="367720"/>
    <s v="367.72K"/>
    <n v="649000000"/>
    <s v="649M"/>
    <n v="5.6659476117103236E-4"/>
    <n v="24"/>
    <x v="2"/>
  </r>
  <r>
    <x v="40"/>
    <x v="40"/>
    <n v="1"/>
    <n v="2.0000000000000001E-4"/>
    <n v="524710000.00000006"/>
    <s v="524.71M"/>
    <n v="41450000"/>
    <s v="41.45M"/>
    <n v="523179999.99999994"/>
    <s v="523.18M"/>
    <n v="7.922703467257923E-2"/>
    <n v="25"/>
    <x v="2"/>
  </r>
  <r>
    <x v="41"/>
    <x v="41"/>
    <n v="0.1618"/>
    <n v="1.23E-2"/>
    <n v="404580000"/>
    <s v="404.58M"/>
    <n v="14500000"/>
    <s v="14.5M"/>
    <n v="2500000000"/>
    <s v="2.5B"/>
    <n v="5.7999999999999996E-3"/>
    <n v="26"/>
    <x v="5"/>
  </r>
  <r>
    <x v="42"/>
    <x v="42"/>
    <n v="5.9999999999999995E-4"/>
    <n v="2.0000000000000001E-4"/>
    <n v="266070000"/>
    <s v="266.07M"/>
    <n v="740.5"/>
    <s v="740.5"/>
    <n v="414400000000"/>
    <s v="414.4B"/>
    <n v="1.7869208494208494E-9"/>
    <n v="29"/>
    <x v="5"/>
  </r>
  <r>
    <x v="43"/>
    <x v="43"/>
    <n v="6.4199999999999993E-2"/>
    <n v="4.1999999999999997E-3"/>
    <n v="58550000"/>
    <s v="58.55M"/>
    <n v="915000"/>
    <s v="915K"/>
    <n v="140910000000000"/>
    <s v="140.91T"/>
    <n v="6.4935064935064932E-9"/>
    <n v="43"/>
    <x v="5"/>
  </r>
  <r>
    <x v="44"/>
    <x v="44"/>
    <n v="1.5E-3"/>
    <n v="1E-4"/>
    <n v="58470000"/>
    <s v="58.47M"/>
    <n v="1990000"/>
    <s v="1.99M"/>
    <n v="40030000000"/>
    <s v="40.03B"/>
    <n v="4.9712715463402446E-5"/>
    <n v="44"/>
    <x v="5"/>
  </r>
  <r>
    <x v="45"/>
    <x v="45"/>
    <n v="3.5999999999999999E-3"/>
    <n v="1.6999999999999999E-3"/>
    <n v="58370000"/>
    <s v="58.37M"/>
    <n v="2360000"/>
    <s v="2.36M"/>
    <n v="16379999999.999998"/>
    <s v="16.38B"/>
    <n v="1.4407814407814409E-4"/>
    <n v="45"/>
    <x v="5"/>
  </r>
  <r>
    <x v="46"/>
    <x v="46"/>
    <n v="3.7100000000000001E-2"/>
    <n v="5.8500000000000003E-2"/>
    <n v="57850000"/>
    <s v="57.85M"/>
    <n v="38840000"/>
    <s v="38.84M"/>
    <n v="1560000000"/>
    <s v="1.56B"/>
    <n v="2.4897435897435899E-2"/>
    <n v="46"/>
    <x v="5"/>
  </r>
  <r>
    <x v="47"/>
    <x v="47"/>
    <n v="4.0500000000000001E-2"/>
    <n v="2.0999999999999999E-3"/>
    <n v="57060000"/>
    <s v="57.06M"/>
    <n v="4630000"/>
    <s v="4.63M"/>
    <n v="1400000000"/>
    <s v="1.4B"/>
    <n v="3.307142857142857E-3"/>
    <n v="47"/>
    <x v="5"/>
  </r>
  <r>
    <x v="48"/>
    <x v="48"/>
    <n v="2.3400000000000001E-2"/>
    <n v="8.0999999999999996E-3"/>
    <n v="56950000"/>
    <s v="56.95M"/>
    <n v="10610000"/>
    <s v="10.61M"/>
    <n v="2420000000"/>
    <s v="2.42B"/>
    <n v="4.3842975206611571E-3"/>
    <n v="48"/>
    <x v="5"/>
  </r>
  <r>
    <x v="49"/>
    <x v="49"/>
    <n v="0.2994"/>
    <n v="1.5E-3"/>
    <n v="56900000"/>
    <s v="56.9M"/>
    <n v="1100000"/>
    <s v="1.1M"/>
    <n v="190000000"/>
    <s v="190M"/>
    <n v="5.7894736842105266E-3"/>
    <n v="49"/>
    <x v="5"/>
  </r>
  <r>
    <x v="50"/>
    <x v="50"/>
    <n v="5.67E-2"/>
    <n v="6.7000000000000002E-3"/>
    <n v="56690000"/>
    <s v="56.69M"/>
    <n v="3410000"/>
    <s v="3.41M"/>
    <n v="999990000"/>
    <s v="999.99M"/>
    <n v="3.4100341003410035E-3"/>
    <n v="50"/>
    <x v="5"/>
  </r>
  <r>
    <x v="51"/>
    <x v="51"/>
    <n v="0.2792"/>
    <n v="1.11E-2"/>
    <n v="55990000"/>
    <s v="55.99M"/>
    <n v="34680000"/>
    <s v="34.68M"/>
    <n v="200500000"/>
    <s v="200.5M"/>
    <n v="0.17296758104738155"/>
    <n v="51"/>
    <x v="5"/>
  </r>
  <r>
    <x v="52"/>
    <x v="52"/>
    <n v="2.98"/>
    <n v="1.1000000000000001E-3"/>
    <n v="55420000"/>
    <s v="55.42M"/>
    <n v="2170000"/>
    <s v="2.17M"/>
    <n v="18590000"/>
    <s v="18.59M"/>
    <n v="0.11672942442173212"/>
    <n v="52"/>
    <x v="6"/>
  </r>
  <r>
    <x v="53"/>
    <x v="53"/>
    <n v="0.1789"/>
    <n v="5.4000000000000003E-3"/>
    <n v="55380000"/>
    <s v="55.38M"/>
    <n v="8590000"/>
    <s v="8.59M"/>
    <n v="309580000"/>
    <s v="309.58M"/>
    <n v="2.7747270495510047E-2"/>
    <n v="53"/>
    <x v="5"/>
  </r>
  <r>
    <x v="54"/>
    <x v="54"/>
    <n v="0.40810000000000002"/>
    <n v="1.78E-2"/>
    <n v="54380000"/>
    <s v="54.38M"/>
    <n v="256250"/>
    <s v="256.25K"/>
    <n v="133240000.00000001"/>
    <s v="133.24M"/>
    <n v="1.9232212548784147E-3"/>
    <n v="54"/>
    <x v="5"/>
  </r>
  <r>
    <x v="55"/>
    <x v="55"/>
    <n v="7.0699999999999999E-2"/>
    <n v="3.8699999999999998E-2"/>
    <n v="54090000"/>
    <s v="54.09M"/>
    <n v="371000000"/>
    <s v="371M"/>
    <n v="764940000"/>
    <s v="764.94M"/>
    <n v="0.48500535989750831"/>
    <n v="56"/>
    <x v="5"/>
  </r>
  <r>
    <x v="56"/>
    <x v="56"/>
    <n v="4.2000000000000003E-2"/>
    <n v="1E-4"/>
    <n v="54120000"/>
    <s v="54.12M"/>
    <n v="2210000"/>
    <s v="2.21M"/>
    <n v="1280000000"/>
    <s v="1.28B"/>
    <n v="1.7265625E-3"/>
    <n v="55"/>
    <x v="5"/>
  </r>
  <r>
    <x v="57"/>
    <x v="57"/>
    <n v="5.0000000000000001E-3"/>
    <n v="1E-4"/>
    <n v="54000000"/>
    <s v="54M"/>
    <n v="1940000"/>
    <s v="1.94M"/>
    <n v="10800000000"/>
    <s v="10.8B"/>
    <n v="1.7962962962962963E-4"/>
    <n v="57"/>
    <x v="5"/>
  </r>
  <r>
    <x v="58"/>
    <x v="58"/>
    <n v="198.65"/>
    <n v="4.0000000000000002E-4"/>
    <n v="39040000"/>
    <s v="39.04M"/>
    <n v="2610000"/>
    <s v="2.61M"/>
    <n v="196540"/>
    <s v="196.54K"/>
    <n v="13.279739493232929"/>
    <n v="58"/>
    <x v="0"/>
  </r>
  <r>
    <x v="59"/>
    <x v="59"/>
    <n v="0.08"/>
    <n v="1E-4"/>
    <n v="39010000"/>
    <s v="39.01M"/>
    <n v="6960000"/>
    <s v="6.96M"/>
    <n v="390560000000000"/>
    <s v="390.56T"/>
    <n v="1.7820565342072921E-8"/>
    <n v="59"/>
    <x v="5"/>
  </r>
  <r>
    <x v="60"/>
    <x v="60"/>
    <n v="1.1499999999999999"/>
    <n v="6.9999999999999999E-4"/>
    <n v="38950000"/>
    <s v="38.95M"/>
    <n v="4710000"/>
    <s v="4.71M"/>
    <n v="33850000"/>
    <s v="33.85M"/>
    <n v="0.13914327917282127"/>
    <n v="60"/>
    <x v="3"/>
  </r>
  <r>
    <x v="61"/>
    <x v="61"/>
    <n v="3.8999999999999998E-3"/>
    <n v="7.7999999999999996E-3"/>
    <n v="38890000"/>
    <s v="38.89M"/>
    <n v="4650000"/>
    <s v="4.65M"/>
    <n v="9990000000"/>
    <s v="9.99B"/>
    <n v="4.6546546546546546E-4"/>
    <n v="61"/>
    <x v="5"/>
  </r>
  <r>
    <x v="62"/>
    <x v="62"/>
    <n v="0.1129"/>
    <n v="3.5999999999999999E-3"/>
    <n v="38770000"/>
    <s v="38.77M"/>
    <n v="4410000"/>
    <s v="4.41M"/>
    <n v="343120000"/>
    <s v="343.12M"/>
    <n v="1.2852646304499884E-2"/>
    <n v="62"/>
    <x v="5"/>
  </r>
  <r>
    <x v="63"/>
    <x v="63"/>
    <n v="3.8600000000000002E-2"/>
    <n v="1.4E-3"/>
    <n v="38620000"/>
    <s v="38.62M"/>
    <n v="6780000"/>
    <s v="6.78M"/>
    <n v="999840000"/>
    <s v="999.84M"/>
    <n v="6.7810849735957749E-3"/>
    <n v="63"/>
    <x v="5"/>
  </r>
  <r>
    <x v="64"/>
    <x v="64"/>
    <n v="0.99939999999999996"/>
    <n v="1E-4"/>
    <n v="38580000"/>
    <s v="38.58M"/>
    <n v="737220"/>
    <s v="737.22K"/>
    <n v="38600000"/>
    <s v="38.6M"/>
    <n v="1.9098963730569948E-2"/>
    <n v="64"/>
    <x v="2"/>
  </r>
  <r>
    <x v="65"/>
    <x v="65"/>
    <n v="3.5799999999999998E-2"/>
    <n v="3.0999999999999999E-3"/>
    <n v="38290000"/>
    <s v="38.29M"/>
    <n v="581100"/>
    <s v="581.1K"/>
    <n v="1060000000"/>
    <s v="1.06B"/>
    <n v="5.482075471698113E-4"/>
    <n v="65"/>
    <x v="5"/>
  </r>
  <r>
    <x v="66"/>
    <x v="66"/>
    <n v="6.4299999999999996E-2"/>
    <n v="2.5000000000000001E-3"/>
    <n v="38250000"/>
    <s v="38.25M"/>
    <n v="438760"/>
    <s v="438.76K"/>
    <n v="595340000"/>
    <s v="595.34M"/>
    <n v="7.3699062720462252E-4"/>
    <n v="66"/>
    <x v="5"/>
  </r>
  <r>
    <x v="67"/>
    <x v="67"/>
    <n v="0.35289999999999999"/>
    <n v="2.9999999999999997E-4"/>
    <n v="37920000"/>
    <s v="37.92M"/>
    <n v="1200000"/>
    <s v="1.2M"/>
    <n v="107460000"/>
    <s v="107.46M"/>
    <n v="1.1166945840312675E-2"/>
    <n v="67"/>
    <x v="5"/>
  </r>
  <r>
    <x v="68"/>
    <x v="68"/>
    <n v="1.4800000000000001E-2"/>
    <n v="3.3E-3"/>
    <n v="37870000"/>
    <s v="37.87M"/>
    <n v="6650000"/>
    <s v="6.65M"/>
    <n v="2560000000"/>
    <s v="2.56B"/>
    <n v="2.5976562500000001E-3"/>
    <n v="68"/>
    <x v="5"/>
  </r>
  <r>
    <x v="69"/>
    <x v="69"/>
    <n v="6.2700000000000006E-2"/>
    <n v="1.6000000000000001E-3"/>
    <n v="37840000"/>
    <s v="37.84M"/>
    <n v="2380000"/>
    <s v="2.38M"/>
    <n v="603760000"/>
    <s v="603.76M"/>
    <n v="3.9419636941831187E-3"/>
    <n v="69"/>
    <x v="5"/>
  </r>
  <r>
    <x v="70"/>
    <x v="70"/>
    <n v="0.99990000000000001"/>
    <n v="0"/>
    <n v="37840000"/>
    <s v="37.84M"/>
    <n v="769590"/>
    <s v="769.59K"/>
    <n v="37840000"/>
    <s v="37.84M"/>
    <n v="2.0338002114164904E-2"/>
    <n v="69"/>
    <x v="2"/>
  </r>
  <r>
    <x v="71"/>
    <x v="71"/>
    <n v="13.48"/>
    <n v="2.0000000000000001E-4"/>
    <n v="37740000"/>
    <s v="37.74M"/>
    <n v="6520000"/>
    <s v="6.52M"/>
    <n v="2790000"/>
    <s v="2.79M"/>
    <n v="2.3369175627240142"/>
    <n v="71"/>
    <x v="4"/>
  </r>
  <r>
    <x v="72"/>
    <x v="72"/>
    <n v="3.7499999999999999E-2"/>
    <n v="3.8E-3"/>
    <n v="37470000"/>
    <s v="37.47M"/>
    <n v="2790000"/>
    <s v="2.79M"/>
    <n v="1000000000"/>
    <s v="1B"/>
    <n v="2.7899999999999999E-3"/>
    <n v="72"/>
    <x v="5"/>
  </r>
  <r>
    <x v="73"/>
    <x v="73"/>
    <n v="1.6999999999999999E-3"/>
    <n v="8.6999999999999994E-3"/>
    <n v="28630000"/>
    <s v="28.63M"/>
    <n v="2000000"/>
    <s v="2M"/>
    <n v="16629999999.999998"/>
    <s v="16.63B"/>
    <n v="1.2026458208057729E-4"/>
    <n v="73"/>
    <x v="5"/>
  </r>
  <r>
    <x v="74"/>
    <x v="74"/>
    <n v="0.1128"/>
    <n v="2.1899999999999999E-2"/>
    <n v="28540000"/>
    <s v="28.54M"/>
    <n v="2230000"/>
    <s v="2.23M"/>
    <n v="253000000"/>
    <s v="253M"/>
    <n v="8.8142292490118578E-3"/>
    <n v="74"/>
    <x v="5"/>
  </r>
  <r>
    <x v="75"/>
    <x v="75"/>
    <n v="0.1205"/>
    <n v="4.7000000000000002E-3"/>
    <n v="28470000"/>
    <s v="28.47M"/>
    <n v="643200000"/>
    <s v="643.2M"/>
    <n v="236300000"/>
    <s v="236.3M"/>
    <n v="2.7219636055861192"/>
    <n v="75"/>
    <x v="5"/>
  </r>
  <r>
    <x v="76"/>
    <x v="76"/>
    <n v="0.26740000000000003"/>
    <n v="2E-3"/>
    <n v="28350000"/>
    <s v="28.35M"/>
    <n v="2900000"/>
    <s v="2.9M"/>
    <n v="106040000"/>
    <s v="106.04M"/>
    <n v="2.7348170501697473E-2"/>
    <n v="76"/>
    <x v="5"/>
  </r>
  <r>
    <x v="77"/>
    <x v="77"/>
    <n v="7.5300000000000006E-2"/>
    <n v="4.1999999999999997E-3"/>
    <n v="28310000"/>
    <s v="28.31M"/>
    <n v="170250"/>
    <s v="170.25K"/>
    <n v="536429999999999.94"/>
    <s v="536.43T"/>
    <n v="3.1737598568312736E-10"/>
    <n v="77"/>
    <x v="5"/>
  </r>
  <r>
    <x v="78"/>
    <x v="78"/>
    <n v="5.0000000000000001E-4"/>
    <n v="1.2200000000000001E-2"/>
    <n v="28240000"/>
    <s v="28.24M"/>
    <n v="2300000"/>
    <s v="2.3M"/>
    <n v="56020000000"/>
    <s v="56.02B"/>
    <n v="4.1056765440913962E-5"/>
    <n v="78"/>
    <x v="5"/>
  </r>
  <r>
    <x v="79"/>
    <x v="79"/>
    <n v="7.7999999999999996E-3"/>
    <n v="1.32E-2"/>
    <n v="28050000"/>
    <s v="28.05M"/>
    <n v="8400000"/>
    <s v="8.4M"/>
    <n v="3570000000"/>
    <s v="3.57B"/>
    <n v="2.352941176470588E-3"/>
    <n v="79"/>
    <x v="5"/>
  </r>
  <r>
    <x v="80"/>
    <x v="80"/>
    <n v="27.21"/>
    <n v="1.1999999999999999E-3"/>
    <n v="28000000"/>
    <s v="28M"/>
    <n v="1100000"/>
    <s v="1.1M"/>
    <n v="1020000"/>
    <s v="1.02M"/>
    <n v="1.0784313725490196"/>
    <n v="80"/>
    <x v="4"/>
  </r>
  <r>
    <x v="81"/>
    <x v="81"/>
    <n v="8.4000000000000005E-2"/>
    <n v="6.6E-3"/>
    <n v="27980000"/>
    <s v="27.98M"/>
    <n v="16030000.000000002"/>
    <s v="16.03M"/>
    <n v="333250000"/>
    <s v="333.25M"/>
    <n v="4.81020255063766E-2"/>
    <n v="81"/>
    <x v="5"/>
  </r>
  <r>
    <x v="82"/>
    <x v="82"/>
    <n v="5.8200000000000002E-2"/>
    <n v="2.5999999999999999E-3"/>
    <n v="27800000"/>
    <s v="27.8M"/>
    <n v="1710000"/>
    <s v="1.71M"/>
    <n v="477620000"/>
    <s v="477.62M"/>
    <n v="3.5802520832460953E-3"/>
    <n v="82"/>
    <x v="5"/>
  </r>
  <r>
    <x v="83"/>
    <x v="83"/>
    <n v="5.1799999999999999E-2"/>
    <n v="1.1999999999999999E-3"/>
    <n v="27790000"/>
    <s v="27.79M"/>
    <n v="2190000"/>
    <s v="2.19M"/>
    <n v="537000000"/>
    <s v="537M"/>
    <n v="4.0782122905027932E-3"/>
    <n v="83"/>
    <x v="5"/>
  </r>
  <r>
    <x v="84"/>
    <x v="84"/>
    <n v="167.84"/>
    <n v="1.0699999999999999E-2"/>
    <n v="27760000"/>
    <s v="27.76M"/>
    <n v="42750000"/>
    <s v="42.75M"/>
    <n v="165420"/>
    <s v="165.42K"/>
    <n v="258.43307943416755"/>
    <n v="84"/>
    <x v="0"/>
  </r>
  <r>
    <x v="85"/>
    <x v="85"/>
    <n v="1.44E-2"/>
    <n v="1.6000000000000001E-3"/>
    <n v="27700000"/>
    <s v="27.7M"/>
    <n v="1330000"/>
    <s v="1.33M"/>
    <n v="1920000000"/>
    <s v="1.92B"/>
    <n v="6.9270833333333337E-4"/>
    <n v="85"/>
    <x v="5"/>
  </r>
  <r>
    <x v="86"/>
    <x v="86"/>
    <n v="0.91759999999999997"/>
    <n v="8.6999999999999994E-3"/>
    <n v="27600000"/>
    <s v="27.6M"/>
    <n v="12900000"/>
    <s v="12.9M"/>
    <n v="30080000"/>
    <s v="30.08M"/>
    <n v="0.42885638297872342"/>
    <n v="86"/>
    <x v="2"/>
  </r>
  <r>
    <x v="87"/>
    <x v="87"/>
    <n v="2.6800000000000001E-2"/>
    <n v="4.0000000000000002E-4"/>
    <n v="20940000"/>
    <s v="20.94M"/>
    <n v="1900000"/>
    <s v="1.9M"/>
    <n v="782960000"/>
    <s v="782.96M"/>
    <n v="2.4266884642893632E-3"/>
    <n v="87"/>
    <x v="5"/>
  </r>
  <r>
    <x v="88"/>
    <x v="88"/>
    <n v="5.9999999999999995E-4"/>
    <n v="0"/>
    <n v="20900000"/>
    <s v="20.9M"/>
    <n v="3910000"/>
    <s v="3.91M"/>
    <n v="34760000000"/>
    <s v="34.76B"/>
    <n v="1.1248561565017261E-4"/>
    <n v="88"/>
    <x v="5"/>
  </r>
  <r>
    <x v="89"/>
    <x v="89"/>
    <n v="0.1633"/>
    <n v="1.6999999999999999E-3"/>
    <n v="20850000"/>
    <s v="20.85M"/>
    <n v="171390"/>
    <s v="171.39K"/>
    <n v="127600000"/>
    <s v="127.6M"/>
    <n v="1.3431818181818182E-3"/>
    <n v="89"/>
    <x v="5"/>
  </r>
  <r>
    <x v="90"/>
    <x v="90"/>
    <n v="2.2000000000000001E-3"/>
    <n v="2E-3"/>
    <n v="20840000"/>
    <s v="20.84M"/>
    <n v="1590000"/>
    <s v="1.59M"/>
    <n v="9440000000"/>
    <s v="9.44B"/>
    <n v="1.6843220338983052E-4"/>
    <n v="90"/>
    <x v="5"/>
  </r>
  <r>
    <x v="91"/>
    <x v="91"/>
    <n v="2.41E-2"/>
    <n v="8.0000000000000004E-4"/>
    <n v="20730000"/>
    <s v="20.73M"/>
    <n v="768360"/>
    <s v="768.36K"/>
    <n v="859110000"/>
    <s v="859.11M"/>
    <n v="8.9436742675559589E-4"/>
    <n v="91"/>
    <x v="5"/>
  </r>
  <r>
    <x v="92"/>
    <x v="92"/>
    <n v="2.99"/>
    <n v="2.3999999999999998E-3"/>
    <n v="20720000"/>
    <s v="20.72M"/>
    <n v="6680000"/>
    <s v="6.68M"/>
    <n v="6920000"/>
    <s v="6.92M"/>
    <n v="0.96531791907514453"/>
    <n v="92"/>
    <x v="6"/>
  </r>
  <r>
    <x v="93"/>
    <x v="93"/>
    <n v="8.48E-2"/>
    <n v="7.1999999999999998E-3"/>
    <n v="20630000"/>
    <s v="20.63M"/>
    <n v="2490000"/>
    <s v="2.49M"/>
    <n v="243230000"/>
    <s v="243.23M"/>
    <n v="1.0237224026641451E-2"/>
    <n v="93"/>
    <x v="5"/>
  </r>
  <r>
    <x v="94"/>
    <x v="94"/>
    <n v="0.22209999999999999"/>
    <n v="5.0000000000000001E-4"/>
    <n v="20450000"/>
    <s v="20.45M"/>
    <n v="1000000"/>
    <s v="1M"/>
    <n v="92060000"/>
    <s v="92.06M"/>
    <n v="1.0862480990658266E-2"/>
    <n v="94"/>
    <x v="5"/>
  </r>
  <r>
    <x v="95"/>
    <x v="95"/>
    <n v="1"/>
    <n v="0"/>
    <n v="20430000"/>
    <s v="20.43M"/>
    <n v="2410000"/>
    <s v="2.41M"/>
    <n v="20360000"/>
    <s v="20.36M"/>
    <n v="0.11836935166994106"/>
    <n v="95"/>
    <x v="2"/>
  </r>
  <r>
    <x v="96"/>
    <x v="96"/>
    <n v="3.6700000000000003E-2"/>
    <n v="3.0999999999999999E-3"/>
    <n v="20330000"/>
    <s v="20.33M"/>
    <n v="2440000"/>
    <s v="2.44M"/>
    <n v="554140000"/>
    <s v="554.14M"/>
    <n v="4.4032194030389432E-3"/>
    <n v="96"/>
    <x v="5"/>
  </r>
  <r>
    <x v="97"/>
    <x v="97"/>
    <n v="698.53"/>
    <n v="1E-4"/>
    <n v="20310000"/>
    <s v="20.31M"/>
    <n v="492300"/>
    <s v="492.3K"/>
    <n v="29080"/>
    <s v="29.08K"/>
    <n v="16.929160935350758"/>
    <n v="97"/>
    <x v="0"/>
  </r>
  <r>
    <x v="98"/>
    <x v="98"/>
    <n v="2.18E-2"/>
    <n v="2.7000000000000001E-3"/>
    <n v="20310000"/>
    <s v="20.31M"/>
    <n v="3260000"/>
    <s v="3.26M"/>
    <n v="931410000"/>
    <s v="931.41M"/>
    <n v="3.5000697866675256E-3"/>
    <n v="97"/>
    <x v="5"/>
  </r>
  <r>
    <x v="99"/>
    <x v="99"/>
    <n v="4.8"/>
    <n v="6.9999999999999999E-4"/>
    <n v="20280000"/>
    <s v="20.28M"/>
    <n v="131990"/>
    <s v="131.99K"/>
    <n v="4210000"/>
    <s v="4.21M"/>
    <n v="3.1351543942992874E-2"/>
    <n v="99"/>
    <x v="6"/>
  </r>
  <r>
    <x v="100"/>
    <x v="100"/>
    <n v="4.7699999999999999E-2"/>
    <n v="6.8999999999999999E-3"/>
    <n v="20260000"/>
    <s v="20.26M"/>
    <n v="8570000"/>
    <s v="8.57M"/>
    <n v="424990000"/>
    <s v="424.99M"/>
    <n v="2.0165180357184873E-2"/>
    <n v="100"/>
    <x v="5"/>
  </r>
  <r>
    <x v="101"/>
    <x v="101"/>
    <n v="5.7999999999999996E-3"/>
    <n v="2.9999999999999997E-4"/>
    <n v="20140000"/>
    <s v="20.14M"/>
    <n v="27590"/>
    <s v="27.59K"/>
    <n v="3460000000"/>
    <s v="3.46B"/>
    <n v="7.9739884393063577E-6"/>
    <n v="101"/>
    <x v="5"/>
  </r>
  <r>
    <x v="102"/>
    <x v="102"/>
    <n v="7.0199999999999999E-2"/>
    <n v="2.3999999999999998E-3"/>
    <n v="16140000"/>
    <s v="16.14M"/>
    <n v="3280000"/>
    <s v="3.28M"/>
    <n v="230000000"/>
    <s v="230M"/>
    <n v="1.4260869565217391E-2"/>
    <n v="102"/>
    <x v="5"/>
  </r>
  <r>
    <x v="103"/>
    <x v="103"/>
    <n v="9.8900000000000002E-2"/>
    <n v="1.11E-2"/>
    <n v="16020000"/>
    <s v="16.02M"/>
    <n v="1150000"/>
    <s v="1.15M"/>
    <n v="162100000"/>
    <s v="162.1M"/>
    <n v="7.0943861813695247E-3"/>
    <n v="103"/>
    <x v="5"/>
  </r>
  <r>
    <x v="104"/>
    <x v="104"/>
    <n v="1.3299999999999999E-2"/>
    <n v="1E-4"/>
    <n v="16020000"/>
    <s v="16.02M"/>
    <n v="80.73"/>
    <s v="80.73"/>
    <n v="1200000000"/>
    <s v="1.2B"/>
    <n v="6.7274999999999999E-8"/>
    <n v="103"/>
    <x v="5"/>
  </r>
  <r>
    <x v="105"/>
    <x v="105"/>
    <n v="1.6E-2"/>
    <n v="1.83E-2"/>
    <n v="16020000"/>
    <s v="16.02M"/>
    <n v="2890000"/>
    <s v="2.89M"/>
    <n v="999990000"/>
    <s v="999.99M"/>
    <n v="2.8900289002890029E-3"/>
    <n v="103"/>
    <x v="5"/>
  </r>
  <r>
    <x v="106"/>
    <x v="106"/>
    <n v="8.0999999999999996E-3"/>
    <n v="0.1012"/>
    <n v="15970000"/>
    <s v="15.97M"/>
    <n v="466540"/>
    <s v="466.54K"/>
    <n v="1970000000"/>
    <s v="1.97B"/>
    <n v="2.3682233502538071E-4"/>
    <n v="106"/>
    <x v="5"/>
  </r>
  <r>
    <x v="107"/>
    <x v="107"/>
    <n v="3.0300000000000001E-2"/>
    <n v="1.1000000000000001E-3"/>
    <n v="15950000"/>
    <s v="15.95M"/>
    <n v="4690000"/>
    <s v="4.69M"/>
    <n v="526870000"/>
    <s v="526.87M"/>
    <n v="8.9016265872036739E-3"/>
    <n v="107"/>
    <x v="5"/>
  </r>
  <r>
    <x v="108"/>
    <x v="108"/>
    <n v="0.41120000000000001"/>
    <n v="8.0000000000000004E-4"/>
    <n v="15930000"/>
    <s v="15.93M"/>
    <n v="103180"/>
    <s v="103.18K"/>
    <n v="38740000"/>
    <s v="38.74M"/>
    <n v="2.663397005678885E-3"/>
    <n v="108"/>
    <x v="5"/>
  </r>
  <r>
    <x v="109"/>
    <x v="109"/>
    <n v="3.8199999999999998E-2"/>
    <n v="5.9999999999999995E-4"/>
    <n v="15890000"/>
    <s v="15.89M"/>
    <n v="2730000"/>
    <s v="2.73M"/>
    <n v="415630000"/>
    <s v="415.63M"/>
    <n v="6.5683420349830378E-3"/>
    <n v="109"/>
    <x v="5"/>
  </r>
  <r>
    <x v="110"/>
    <x v="110"/>
    <n v="3.3E-3"/>
    <n v="1.6E-2"/>
    <n v="15880000"/>
    <s v="15.88M"/>
    <n v="1810000"/>
    <s v="1.81M"/>
    <n v="4830000000"/>
    <s v="4.83B"/>
    <n v="3.7474120082815738E-4"/>
    <n v="110"/>
    <x v="5"/>
  </r>
  <r>
    <x v="111"/>
    <x v="111"/>
    <n v="2.0000000000000001E-4"/>
    <n v="6.1000000000000004E-3"/>
    <n v="15870000"/>
    <s v="15.87M"/>
    <n v="2970000"/>
    <s v="2.97M"/>
    <n v="66390000000"/>
    <s v="66.39B"/>
    <n v="4.4735652959783097E-5"/>
    <n v="111"/>
    <x v="5"/>
  </r>
  <r>
    <x v="112"/>
    <x v="112"/>
    <n v="4.0000000000000002E-4"/>
    <n v="5.9999999999999995E-4"/>
    <n v="15810000"/>
    <s v="15.81M"/>
    <n v="14990"/>
    <s v="14.99K"/>
    <n v="36250000000"/>
    <s v="36.25B"/>
    <n v="4.1351724137931036E-7"/>
    <n v="112"/>
    <x v="5"/>
  </r>
  <r>
    <x v="113"/>
    <x v="113"/>
    <n v="8.9999999999999998E-4"/>
    <n v="1.7600000000000001E-2"/>
    <n v="15730000"/>
    <s v="15.73M"/>
    <n v="6130"/>
    <s v="6.13K"/>
    <n v="16700000000"/>
    <s v="16.7B"/>
    <n v="3.6706586826347305E-7"/>
    <n v="113"/>
    <x v="5"/>
  </r>
  <r>
    <x v="114"/>
    <x v="114"/>
    <n v="0.12130000000000001"/>
    <n v="5.7999999999999996E-3"/>
    <n v="15660000"/>
    <s v="15.66M"/>
    <n v="2970000"/>
    <s v="2.97M"/>
    <n v="129100000"/>
    <s v="129.1M"/>
    <n v="2.3005422153369481E-2"/>
    <n v="115"/>
    <x v="5"/>
  </r>
  <r>
    <x v="115"/>
    <x v="115"/>
    <n v="3.61E-2"/>
    <n v="4.7999999999999996E-3"/>
    <n v="15670000"/>
    <s v="15.67M"/>
    <n v="7350000"/>
    <s v="7.35M"/>
    <n v="434300000"/>
    <s v="434.3M"/>
    <n v="1.6923785401795993E-2"/>
    <n v="114"/>
    <x v="5"/>
  </r>
  <r>
    <x v="116"/>
    <x v="116"/>
    <n v="2.23E-2"/>
    <n v="1.1000000000000001E-3"/>
    <n v="15590000"/>
    <s v="15.59M"/>
    <n v="1580000"/>
    <s v="1.58M"/>
    <n v="700000000"/>
    <s v="700M"/>
    <n v="2.2571428571428573E-3"/>
    <n v="116"/>
    <x v="5"/>
  </r>
  <r>
    <x v="117"/>
    <x v="117"/>
    <n v="0.20399999999999999"/>
    <n v="2E-3"/>
    <n v="12050000"/>
    <s v="12.05M"/>
    <n v="3000000"/>
    <s v="3M"/>
    <n v="59070000"/>
    <s v="59.07M"/>
    <n v="5.0787201625190452E-2"/>
    <n v="117"/>
    <x v="5"/>
  </r>
  <r>
    <x v="118"/>
    <x v="118"/>
    <n v="3.49E-2"/>
    <n v="4.1000000000000003E-3"/>
    <n v="12050000"/>
    <s v="12.05M"/>
    <n v="3170000"/>
    <s v="3.17M"/>
    <n v="345060000"/>
    <s v="345.06M"/>
    <n v="9.1868080913464333E-3"/>
    <n v="117"/>
    <x v="5"/>
  </r>
  <r>
    <x v="119"/>
    <x v="119"/>
    <n v="1.5E-3"/>
    <n v="3.0999999999999999E-3"/>
    <n v="12010000"/>
    <s v="12.01M"/>
    <n v="2260000"/>
    <s v="2.26M"/>
    <n v="7800000000"/>
    <s v="7.8B"/>
    <n v="2.8974358974358976E-4"/>
    <n v="119"/>
    <x v="5"/>
  </r>
  <r>
    <x v="120"/>
    <x v="120"/>
    <n v="1.2E-2"/>
    <n v="1.03E-2"/>
    <n v="12000000"/>
    <s v="12M"/>
    <n v="3530000"/>
    <s v="3.53M"/>
    <n v="997210000"/>
    <s v="997.21M"/>
    <n v="3.5398762547507547E-3"/>
    <n v="120"/>
    <x v="5"/>
  </r>
  <r>
    <x v="121"/>
    <x v="121"/>
    <n v="1.3100000000000001E-2"/>
    <n v="1E-4"/>
    <n v="11980000"/>
    <s v="11.98M"/>
    <n v="1050"/>
    <s v="1.05K"/>
    <n v="916760000"/>
    <s v="916.76M"/>
    <n v="1.1453379292290239E-6"/>
    <n v="121"/>
    <x v="5"/>
  </r>
  <r>
    <x v="122"/>
    <x v="122"/>
    <n v="1.24E-2"/>
    <n v="1.12E-2"/>
    <n v="11970000"/>
    <s v="11.97M"/>
    <n v="4230000"/>
    <s v="4.23M"/>
    <n v="967030000"/>
    <s v="967.03M"/>
    <n v="4.3742179663505782E-3"/>
    <n v="122"/>
    <x v="5"/>
  </r>
  <r>
    <x v="123"/>
    <x v="123"/>
    <n v="1.1999999999999999E-3"/>
    <n v="5.1000000000000004E-3"/>
    <n v="11930000"/>
    <s v="11.93M"/>
    <n v="296410"/>
    <s v="296.41K"/>
    <n v="10000000000"/>
    <s v="10B"/>
    <n v="2.9641E-5"/>
    <n v="123"/>
    <x v="5"/>
  </r>
  <r>
    <x v="124"/>
    <x v="124"/>
    <n v="2.4900000000000002"/>
    <n v="2.2000000000000001E-3"/>
    <n v="11860000"/>
    <s v="11.86M"/>
    <n v="2160000"/>
    <s v="2.16M"/>
    <n v="4750000"/>
    <s v="4.75M"/>
    <n v="0.45473684210526316"/>
    <n v="124"/>
    <x v="6"/>
  </r>
  <r>
    <x v="125"/>
    <x v="125"/>
    <n v="0.77939999999999998"/>
    <n v="1E-4"/>
    <n v="11770000"/>
    <s v="11.77M"/>
    <n v="523620"/>
    <s v="523.62K"/>
    <n v="15100000"/>
    <s v="15.1M"/>
    <n v="3.4676821192052981E-2"/>
    <n v="125"/>
    <x v="2"/>
  </r>
  <r>
    <x v="126"/>
    <x v="126"/>
    <n v="11.86"/>
    <n v="4.7999999999999996E-3"/>
    <n v="11690000"/>
    <s v="11.69M"/>
    <n v="1930000"/>
    <s v="1.93M"/>
    <n v="986270"/>
    <s v="986.27K"/>
    <n v="1.9568677948229187"/>
    <n v="126"/>
    <x v="4"/>
  </r>
  <r>
    <x v="127"/>
    <x v="127"/>
    <n v="0.17449999999999999"/>
    <n v="0.02"/>
    <n v="11690000"/>
    <s v="11.69M"/>
    <n v="71960"/>
    <s v="71.96K"/>
    <n v="66980000.000000007"/>
    <s v="66.98M"/>
    <n v="1.0743505524037024E-3"/>
    <n v="126"/>
    <x v="5"/>
  </r>
  <r>
    <x v="128"/>
    <x v="128"/>
    <n v="1.17E-2"/>
    <n v="2E-3"/>
    <n v="11690000"/>
    <s v="11.69M"/>
    <n v="2670000"/>
    <s v="2.67M"/>
    <n v="1000000000"/>
    <s v="1B"/>
    <n v="2.6700000000000001E-3"/>
    <n v="126"/>
    <x v="5"/>
  </r>
  <r>
    <x v="129"/>
    <x v="129"/>
    <n v="918.43"/>
    <n v="1E-4"/>
    <n v="11670000"/>
    <s v="11.67M"/>
    <n v="13380000"/>
    <s v="13.38M"/>
    <n v="12700"/>
    <s v="12.7K"/>
    <n v="1053.5433070866143"/>
    <n v="129"/>
    <x v="0"/>
  </r>
  <r>
    <x v="130"/>
    <x v="130"/>
    <n v="5.1999999999999998E-3"/>
    <n v="4.0000000000000002E-4"/>
    <n v="9360000"/>
    <s v="9.36M"/>
    <n v="1350000"/>
    <s v="1.35M"/>
    <n v="1780000000"/>
    <s v="1.78B"/>
    <n v="7.5842696629213483E-4"/>
    <n v="130"/>
    <x v="5"/>
  </r>
  <r>
    <x v="131"/>
    <x v="131"/>
    <n v="0.10009999999999999"/>
    <n v="1.5299999999999999E-2"/>
    <n v="9280000"/>
    <s v="9.28M"/>
    <n v="389060"/>
    <s v="389.06K"/>
    <n v="92670000"/>
    <s v="92.67M"/>
    <n v="4.198338189273767E-3"/>
    <n v="133"/>
    <x v="5"/>
  </r>
  <r>
    <x v="132"/>
    <x v="132"/>
    <n v="1.89E-2"/>
    <n v="1.4E-3"/>
    <n v="9310000"/>
    <s v="9.31M"/>
    <n v="1170000"/>
    <s v="1.17M"/>
    <n v="493580000"/>
    <s v="493.58M"/>
    <n v="2.3704364034199117E-3"/>
    <n v="131"/>
    <x v="5"/>
  </r>
  <r>
    <x v="133"/>
    <x v="133"/>
    <n v="7.7000000000000002E-3"/>
    <n v="2.8999999999999998E-3"/>
    <n v="9300000"/>
    <s v="9.3M"/>
    <n v="3640000"/>
    <s v="3.64M"/>
    <n v="1200000000"/>
    <s v="1.2B"/>
    <n v="3.0333333333333332E-3"/>
    <n v="132"/>
    <x v="5"/>
  </r>
  <r>
    <x v="134"/>
    <x v="134"/>
    <n v="2.1000000000000001E-2"/>
    <n v="1.4E-3"/>
    <n v="9250000"/>
    <s v="9.25M"/>
    <n v="2480000"/>
    <s v="2.48M"/>
    <n v="441620000"/>
    <s v="441.62M"/>
    <n v="5.6156876953036543E-3"/>
    <n v="134"/>
    <x v="5"/>
  </r>
  <r>
    <x v="135"/>
    <x v="135"/>
    <n v="6.6E-3"/>
    <n v="1.8499999999999999E-2"/>
    <n v="9250000"/>
    <s v="9.25M"/>
    <n v="51220000"/>
    <s v="51.22M"/>
    <n v="1400000000"/>
    <s v="1.4B"/>
    <n v="3.6585714285714284E-2"/>
    <n v="134"/>
    <x v="5"/>
  </r>
  <r>
    <x v="136"/>
    <x v="136"/>
    <n v="2.58E-2"/>
    <n v="1.3100000000000001E-2"/>
    <n v="9250000"/>
    <s v="9.25M"/>
    <n v="804790"/>
    <s v="804.79K"/>
    <n v="359110000"/>
    <s v="359.11M"/>
    <n v="2.24106819637437E-3"/>
    <n v="134"/>
    <x v="5"/>
  </r>
  <r>
    <x v="137"/>
    <x v="137"/>
    <n v="7.0999999999999994E-2"/>
    <n v="1.1000000000000001E-3"/>
    <n v="9200000"/>
    <s v="9.2M"/>
    <n v="353410"/>
    <s v="353.41K"/>
    <n v="129550000.00000001"/>
    <s v="129.55M"/>
    <n v="2.7279814743342338E-3"/>
    <n v="137"/>
    <x v="5"/>
  </r>
  <r>
    <x v="138"/>
    <x v="138"/>
    <n v="9.1999999999999998E-3"/>
    <n v="2.0199999999999999E-2"/>
    <n v="9170000"/>
    <s v="9.17M"/>
    <n v="4210000"/>
    <s v="4.21M"/>
    <n v="999940000"/>
    <s v="999.94M"/>
    <n v="4.2102526151569092E-3"/>
    <n v="138"/>
    <x v="5"/>
  </r>
  <r>
    <x v="139"/>
    <x v="139"/>
    <n v="5.0799999999999998E-2"/>
    <n v="7.4000000000000003E-3"/>
    <n v="9130000"/>
    <s v="9.13M"/>
    <n v="1060000"/>
    <s v="1.06M"/>
    <n v="179640000"/>
    <s v="179.64M"/>
    <n v="5.9006902694277441E-3"/>
    <n v="139"/>
    <x v="5"/>
  </r>
  <r>
    <x v="140"/>
    <x v="140"/>
    <n v="2.5600000000000001E-2"/>
    <n v="5.9999999999999995E-4"/>
    <n v="9100000"/>
    <s v="9.1M"/>
    <n v="227090"/>
    <s v="227.09K"/>
    <n v="356280000"/>
    <s v="356.28M"/>
    <n v="6.3739193892444141E-4"/>
    <n v="140"/>
    <x v="5"/>
  </r>
  <r>
    <x v="141"/>
    <x v="141"/>
    <n v="3.3999999999999998E-3"/>
    <n v="2.9999999999999997E-4"/>
    <n v="9090000"/>
    <s v="9.09M"/>
    <n v="159180"/>
    <s v="159.18K"/>
    <n v="2660000000"/>
    <s v="2.66B"/>
    <n v="5.9842105263157891E-5"/>
    <n v="141"/>
    <x v="5"/>
  </r>
  <r>
    <x v="142"/>
    <x v="142"/>
    <n v="3.1800000000000002E-2"/>
    <n v="5.4000000000000003E-3"/>
    <n v="9090000"/>
    <s v="9.09M"/>
    <n v="3450000"/>
    <s v="3.45M"/>
    <n v="286300000"/>
    <s v="286.3M"/>
    <n v="1.2050296891372686E-2"/>
    <n v="141"/>
    <x v="5"/>
  </r>
  <r>
    <x v="143"/>
    <x v="143"/>
    <n v="2.3E-3"/>
    <n v="4.7000000000000002E-3"/>
    <n v="9090000"/>
    <s v="9.09M"/>
    <n v="491840"/>
    <s v="491.84K"/>
    <n v="3940000000"/>
    <s v="3.94B"/>
    <n v="1.2483248730964466E-4"/>
    <n v="141"/>
    <x v="5"/>
  </r>
  <r>
    <x v="144"/>
    <x v="144"/>
    <n v="3.7000000000000002E-3"/>
    <n v="1.8700000000000001E-2"/>
    <n v="8780000"/>
    <s v="8.78M"/>
    <n v="4420000"/>
    <s v="4.42M"/>
    <n v="2370000000"/>
    <s v="2.37B"/>
    <n v="1.8649789029535865E-3"/>
    <n v="144"/>
    <x v="5"/>
  </r>
  <r>
    <x v="145"/>
    <x v="145"/>
    <n v="1.8200000000000001E-2"/>
    <n v="6.1000000000000004E-3"/>
    <n v="7420000"/>
    <s v="7.42M"/>
    <n v="3920000"/>
    <s v="3.92M"/>
    <n v="409110000"/>
    <s v="409.11M"/>
    <n v="9.5817750727188282E-3"/>
    <n v="145"/>
    <x v="5"/>
  </r>
  <r>
    <x v="146"/>
    <x v="146"/>
    <n v="1.6400000000000001E-2"/>
    <n v="8.9999999999999998E-4"/>
    <n v="7410000"/>
    <s v="7.41M"/>
    <n v="883550"/>
    <s v="883.55K"/>
    <n v="450830000"/>
    <s v="450.83M"/>
    <n v="1.9598296475389835E-3"/>
    <n v="146"/>
    <x v="5"/>
  </r>
  <r>
    <x v="147"/>
    <x v="147"/>
    <n v="101.12"/>
    <n v="1E-4"/>
    <n v="7400000"/>
    <s v="7.4M"/>
    <n v="1080000"/>
    <s v="1.08M"/>
    <n v="73260"/>
    <s v="73.26K"/>
    <n v="14.742014742014742"/>
    <n v="147"/>
    <x v="0"/>
  </r>
  <r>
    <x v="148"/>
    <x v="148"/>
    <n v="7.4000000000000003E-3"/>
    <n v="2.9999999999999997E-4"/>
    <n v="7390000"/>
    <s v="7.39M"/>
    <n v="459410"/>
    <s v="459.41K"/>
    <n v="999190000"/>
    <s v="999.19M"/>
    <n v="4.5978242376324823E-4"/>
    <n v="148"/>
    <x v="5"/>
  </r>
  <r>
    <x v="149"/>
    <x v="149"/>
    <n v="8.9999999999999998E-4"/>
    <n v="1.1299999999999999E-2"/>
    <n v="7370000"/>
    <s v="7.37M"/>
    <n v="477960"/>
    <s v="477.96K"/>
    <n v="8390000000.000001"/>
    <s v="8.39B"/>
    <n v="5.696781883194278E-5"/>
    <n v="149"/>
    <x v="5"/>
  </r>
  <r>
    <x v="150"/>
    <x v="150"/>
    <n v="8.6E-3"/>
    <n v="2.0000000000000001E-4"/>
    <n v="7360000"/>
    <s v="7.36M"/>
    <n v="50840000"/>
    <s v="50.84M"/>
    <n v="857370000"/>
    <s v="857.37M"/>
    <n v="5.9297619464175326E-2"/>
    <n v="150"/>
    <x v="5"/>
  </r>
  <r>
    <x v="151"/>
    <x v="151"/>
    <n v="161.38"/>
    <n v="4.1000000000000003E-3"/>
    <n v="7330000"/>
    <s v="7.33M"/>
    <n v="9810000"/>
    <s v="9.81M"/>
    <n v="45470"/>
    <s v="45.47K"/>
    <n v="215.74664614031229"/>
    <n v="151"/>
    <x v="0"/>
  </r>
  <r>
    <x v="152"/>
    <x v="152"/>
    <n v="65.39"/>
    <n v="4.0000000000000001E-3"/>
    <n v="7290000"/>
    <s v="7.29M"/>
    <n v="522049.99999999994"/>
    <s v="522.05K"/>
    <n v="111480"/>
    <s v="111.48K"/>
    <n v="4.6829027628274122"/>
    <n v="152"/>
    <x v="4"/>
  </r>
  <r>
    <x v="153"/>
    <x v="153"/>
    <n v="2.3999999999999998E-3"/>
    <n v="2.0000000000000001E-4"/>
    <n v="7270000"/>
    <s v="7.27M"/>
    <n v="290160"/>
    <s v="290.16K"/>
    <n v="3000000000"/>
    <s v="3B"/>
    <n v="9.6719999999999996E-5"/>
    <n v="153"/>
    <x v="5"/>
  </r>
  <r>
    <x v="154"/>
    <x v="154"/>
    <n v="920.43"/>
    <n v="5.8999999999999999E-3"/>
    <n v="7270000"/>
    <s v="7.27M"/>
    <n v="6180000"/>
    <s v="6.18M"/>
    <n v="7890"/>
    <s v="7.89K"/>
    <n v="783.26996197718631"/>
    <n v="153"/>
    <x v="0"/>
  </r>
  <r>
    <x v="155"/>
    <x v="155"/>
    <n v="0.83179999999999998"/>
    <n v="5.0000000000000001E-4"/>
    <n v="7260000"/>
    <s v="7.26M"/>
    <n v="2210000"/>
    <s v="2.21M"/>
    <n v="8730000"/>
    <s v="8.73M"/>
    <n v="0.2531500572737686"/>
    <n v="155"/>
    <x v="2"/>
  </r>
  <r>
    <x v="156"/>
    <x v="156"/>
    <n v="0.50470000000000004"/>
    <n v="1.5E-3"/>
    <n v="7240000"/>
    <s v="7.24M"/>
    <n v="1280000"/>
    <s v="1.28M"/>
    <n v="14340000"/>
    <s v="14.34M"/>
    <n v="8.926080892608089E-2"/>
    <n v="156"/>
    <x v="2"/>
  </r>
  <r>
    <x v="157"/>
    <x v="157"/>
    <n v="9.5100000000000004E-2"/>
    <n v="2E-3"/>
    <n v="7200000"/>
    <s v="7.2M"/>
    <n v="1020000"/>
    <s v="1.02M"/>
    <n v="75750000"/>
    <s v="75.75M"/>
    <n v="1.3465346534653465E-2"/>
    <n v="157"/>
    <x v="5"/>
  </r>
  <r>
    <x v="158"/>
    <x v="158"/>
    <n v="7.7499999999999999E-2"/>
    <n v="1.6199999999999999E-2"/>
    <n v="5710000"/>
    <s v="5.71M"/>
    <n v="786160"/>
    <s v="786.16K"/>
    <n v="73730000"/>
    <s v="73.73M"/>
    <n v="1.0662688186626882E-2"/>
    <n v="159"/>
    <x v="5"/>
  </r>
  <r>
    <x v="159"/>
    <x v="159"/>
    <n v="0.1628"/>
    <n v="1E-4"/>
    <n v="5700000"/>
    <s v="5.7M"/>
    <n v="228130"/>
    <s v="228.13K"/>
    <n v="35030000"/>
    <s v="35.03M"/>
    <n v="6.5124179274907226E-3"/>
    <n v="160"/>
    <x v="5"/>
  </r>
  <r>
    <x v="160"/>
    <x v="160"/>
    <n v="9.5999999999999992E-3"/>
    <n v="2.0999999999999999E-3"/>
    <n v="5680000"/>
    <s v="5.68M"/>
    <n v="869130"/>
    <s v="869.13K"/>
    <n v="593560000"/>
    <s v="593.56M"/>
    <n v="1.4642664600040434E-3"/>
    <n v="161"/>
    <x v="5"/>
  </r>
  <r>
    <x v="161"/>
    <x v="161"/>
    <n v="8.9999999999999998E-4"/>
    <n v="5.9999999999999995E-4"/>
    <n v="5680000"/>
    <s v="5.68M"/>
    <n v="540340"/>
    <s v="540.34K"/>
    <n v="6230000000"/>
    <s v="6.23B"/>
    <n v="8.6731942215088279E-5"/>
    <n v="161"/>
    <x v="5"/>
  </r>
  <r>
    <x v="162"/>
    <x v="162"/>
    <n v="0.24579999999999999"/>
    <n v="5.1999999999999998E-3"/>
    <n v="5670000"/>
    <s v="5.67M"/>
    <n v="237940"/>
    <s v="237.94K"/>
    <n v="23080000"/>
    <s v="23.08M"/>
    <n v="1.0309358752166377E-2"/>
    <n v="163"/>
    <x v="5"/>
  </r>
  <r>
    <x v="163"/>
    <x v="163"/>
    <n v="0.23449999999999999"/>
    <n v="7.9000000000000008E-3"/>
    <n v="5640000"/>
    <s v="5.64M"/>
    <n v="210420"/>
    <s v="210.42K"/>
    <n v="24080000"/>
    <s v="24.08M"/>
    <n v="8.7383720930232552E-3"/>
    <n v="164"/>
    <x v="5"/>
  </r>
  <r>
    <x v="164"/>
    <x v="164"/>
    <n v="4.7000000000000002E-3"/>
    <n v="4.5999999999999999E-3"/>
    <n v="5640000"/>
    <s v="5.64M"/>
    <n v="1920000"/>
    <s v="1.92M"/>
    <n v="1210000000"/>
    <s v="1.21B"/>
    <n v="1.5867768595041322E-3"/>
    <n v="164"/>
    <x v="5"/>
  </r>
  <r>
    <x v="165"/>
    <x v="165"/>
    <n v="65.86"/>
    <n v="6.0000000000000001E-3"/>
    <n v="5630000"/>
    <s v="5.63M"/>
    <n v="1510000"/>
    <s v="1.51M"/>
    <n v="85480"/>
    <s v="85.48K"/>
    <n v="17.664950865699581"/>
    <n v="166"/>
    <x v="4"/>
  </r>
  <r>
    <x v="166"/>
    <x v="166"/>
    <n v="1.0999999999999999E-2"/>
    <n v="5.7999999999999996E-3"/>
    <n v="5600000"/>
    <s v="5.6M"/>
    <n v="1040000"/>
    <s v="1.04M"/>
    <n v="510510000"/>
    <s v="510.51M"/>
    <n v="2.0371785077667429E-3"/>
    <n v="167"/>
    <x v="5"/>
  </r>
  <r>
    <x v="167"/>
    <x v="167"/>
    <n v="226.47"/>
    <n v="1.1000000000000001E-3"/>
    <n v="5590000"/>
    <s v="5.59M"/>
    <n v="129080.00000000001"/>
    <s v="129.08K"/>
    <n v="24700"/>
    <s v="24.7K"/>
    <n v="5.2259109311740897"/>
    <n v="168"/>
    <x v="0"/>
  </r>
  <r>
    <x v="168"/>
    <x v="168"/>
    <n v="7.9000000000000008E-3"/>
    <n v="0"/>
    <n v="5590000"/>
    <s v="5.59M"/>
    <n v="5090000"/>
    <s v="5.09M"/>
    <n v="704060000"/>
    <s v="704.06M"/>
    <n v="7.2294974860097148E-3"/>
    <n v="168"/>
    <x v="5"/>
  </r>
  <r>
    <x v="169"/>
    <x v="169"/>
    <n v="0"/>
    <n v="2E-3"/>
    <n v="5570000"/>
    <s v="5.57M"/>
    <n v="189850"/>
    <s v="189.85K"/>
    <n v="411670000000"/>
    <s v="411.67B"/>
    <n v="4.6117035489591178E-7"/>
    <n v="170"/>
    <x v="5"/>
  </r>
  <r>
    <x v="170"/>
    <x v="170"/>
    <n v="5.5999999999999999E-3"/>
    <n v="2.5000000000000001E-3"/>
    <n v="5570000"/>
    <s v="5.57M"/>
    <n v="115.13"/>
    <s v="115.13"/>
    <n v="1000000000"/>
    <s v="1B"/>
    <n v="1.1513E-7"/>
    <n v="170"/>
    <x v="5"/>
  </r>
  <r>
    <x v="171"/>
    <x v="171"/>
    <n v="5.4999999999999997E-3"/>
    <n v="9.1000000000000004E-3"/>
    <n v="4400000"/>
    <s v="4.4M"/>
    <n v="658730"/>
    <s v="658.73K"/>
    <n v="800700000"/>
    <s v="800.7M"/>
    <n v="8.2269264393655553E-4"/>
    <n v="172"/>
    <x v="5"/>
  </r>
  <r>
    <x v="172"/>
    <x v="172"/>
    <n v="5.4899999999999997E-2"/>
    <n v="1.29E-2"/>
    <n v="4390000"/>
    <s v="4.39M"/>
    <n v="174450"/>
    <s v="174.45K"/>
    <n v="902150000000"/>
    <s v="902.15B"/>
    <n v="1.9337139056697887E-7"/>
    <n v="173"/>
    <x v="5"/>
  </r>
  <r>
    <x v="173"/>
    <x v="173"/>
    <n v="3.44E-2"/>
    <n v="2.0999999999999999E-3"/>
    <n v="4370000"/>
    <s v="4.37M"/>
    <n v="3000000"/>
    <s v="3M"/>
    <n v="127500000"/>
    <s v="127.5M"/>
    <n v="2.3529411764705882E-2"/>
    <n v="174"/>
    <x v="5"/>
  </r>
  <r>
    <x v="174"/>
    <x v="174"/>
    <n v="4.4999999999999997E-3"/>
    <n v="1.9599999999999999E-2"/>
    <n v="4360000"/>
    <s v="4.36M"/>
    <n v="35620"/>
    <s v="35.62K"/>
    <n v="978910000"/>
    <s v="978.91M"/>
    <n v="3.6387410487174514E-5"/>
    <n v="175"/>
    <x v="5"/>
  </r>
  <r>
    <x v="175"/>
    <x v="175"/>
    <n v="8.8999999999999999E-3"/>
    <n v="1.2999999999999999E-3"/>
    <n v="4310000"/>
    <s v="4.31M"/>
    <n v="160250"/>
    <s v="160.25K"/>
    <n v="486200000"/>
    <s v="486.2M"/>
    <n v="3.295968737145208E-4"/>
    <n v="176"/>
    <x v="5"/>
  </r>
  <r>
    <x v="176"/>
    <x v="176"/>
    <n v="5.0000000000000001E-4"/>
    <n v="1.6400000000000001E-2"/>
    <n v="4240000"/>
    <s v="4.24M"/>
    <n v="118440"/>
    <s v="118.44K"/>
    <n v="8990000000"/>
    <s v="8.99B"/>
    <n v="1.317463848720801E-5"/>
    <n v="183"/>
    <x v="5"/>
  </r>
  <r>
    <x v="177"/>
    <x v="177"/>
    <n v="1.6299999999999999E-2"/>
    <n v="1.6999999999999999E-3"/>
    <n v="4300000"/>
    <s v="4.3M"/>
    <n v="784690"/>
    <s v="784.69K"/>
    <n v="264500000"/>
    <s v="264.5M"/>
    <n v="2.9666918714555766E-3"/>
    <n v="177"/>
    <x v="5"/>
  </r>
  <r>
    <x v="178"/>
    <x v="178"/>
    <n v="1.5E-3"/>
    <n v="2.0000000000000001E-4"/>
    <n v="4270000"/>
    <s v="4.27M"/>
    <n v="23.94"/>
    <s v="23.94"/>
    <n v="2770000000"/>
    <s v="2.77B"/>
    <n v="8.6425992779783392E-9"/>
    <n v="178"/>
    <x v="5"/>
  </r>
  <r>
    <x v="179"/>
    <x v="179"/>
    <n v="5.5999999999999999E-3"/>
    <n v="1.4E-3"/>
    <n v="4270000"/>
    <s v="4.27M"/>
    <n v="817570"/>
    <s v="817.57K"/>
    <n v="764320000"/>
    <s v="764.32M"/>
    <n v="1.06966977182332E-3"/>
    <n v="178"/>
    <x v="5"/>
  </r>
  <r>
    <x v="180"/>
    <x v="180"/>
    <n v="581.11"/>
    <n v="1E-3"/>
    <n v="4270000"/>
    <s v="4.27M"/>
    <n v="1310000"/>
    <s v="1.31M"/>
    <n v="7350"/>
    <s v="7.35K"/>
    <n v="178.23129251700681"/>
    <n v="178"/>
    <x v="0"/>
  </r>
  <r>
    <x v="181"/>
    <x v="181"/>
    <n v="4.7199999999999999E-2"/>
    <n v="1.83E-2"/>
    <n v="4270000"/>
    <s v="4.27M"/>
    <n v="1010"/>
    <s v="1.01K"/>
    <n v="90500000"/>
    <s v="90.5M"/>
    <n v="1.1160220994475139E-5"/>
    <n v="178"/>
    <x v="5"/>
  </r>
  <r>
    <x v="182"/>
    <x v="182"/>
    <n v="0.23680000000000001"/>
    <n v="4.0000000000000002E-4"/>
    <n v="4260000"/>
    <s v="4.26M"/>
    <n v="1060000"/>
    <s v="1.06M"/>
    <n v="18000000"/>
    <s v="18M"/>
    <n v="5.8888888888888886E-2"/>
    <n v="182"/>
    <x v="5"/>
  </r>
  <r>
    <x v="183"/>
    <x v="183"/>
    <n v="7.7399999999999997E-2"/>
    <n v="2.0000000000000001E-4"/>
    <n v="4240000"/>
    <s v="4.24M"/>
    <n v="1900"/>
    <s v="1.9K"/>
    <n v="57270000000000"/>
    <s v="57.27T"/>
    <n v="3.3176182992840929E-11"/>
    <n v="183"/>
    <x v="5"/>
  </r>
  <r>
    <x v="184"/>
    <x v="184"/>
    <n v="1.6000000000000001E-3"/>
    <n v="3.3099999999999997E-2"/>
    <n v="3400000"/>
    <s v="3.4M"/>
    <n v="2520"/>
    <s v="2.52K"/>
    <n v="2100000000"/>
    <s v="2.1B"/>
    <n v="1.1999999999999999E-6"/>
    <n v="185"/>
    <x v="5"/>
  </r>
  <r>
    <x v="185"/>
    <x v="185"/>
    <n v="1.0999999999999999E-2"/>
    <n v="5.9999999999999995E-4"/>
    <n v="3380000"/>
    <s v="3.38M"/>
    <n v="145850"/>
    <s v="145.85K"/>
    <n v="307240000"/>
    <s v="307.24M"/>
    <n v="4.7471032417653949E-4"/>
    <n v="186"/>
    <x v="5"/>
  </r>
  <r>
    <x v="186"/>
    <x v="186"/>
    <n v="3.3999999999999998E-3"/>
    <n v="2.9999999999999997E-4"/>
    <n v="3360000"/>
    <s v="3.36M"/>
    <n v="8920"/>
    <s v="8.92K"/>
    <n v="992870000"/>
    <s v="992.87M"/>
    <n v="8.9840563215728149E-6"/>
    <n v="187"/>
    <x v="5"/>
  </r>
  <r>
    <x v="187"/>
    <x v="187"/>
    <n v="311.89999999999998"/>
    <n v="8.0000000000000002E-3"/>
    <n v="3350000"/>
    <s v="3.35M"/>
    <n v="16160000"/>
    <s v="16.16M"/>
    <n v="10750"/>
    <s v="10.75K"/>
    <n v="1503.2558139534883"/>
    <n v="188"/>
    <x v="0"/>
  </r>
  <r>
    <x v="188"/>
    <x v="188"/>
    <n v="5.5999999999999999E-3"/>
    <n v="1.2999999999999999E-3"/>
    <n v="3350000"/>
    <s v="3.35M"/>
    <n v="120340"/>
    <s v="120.34K"/>
    <n v="598860000"/>
    <s v="598.86M"/>
    <n v="2.0094846875730554E-4"/>
    <n v="188"/>
    <x v="5"/>
  </r>
  <r>
    <x v="189"/>
    <x v="189"/>
    <n v="59.7"/>
    <n v="1.8E-3"/>
    <n v="3340000"/>
    <s v="3.34M"/>
    <n v="231730"/>
    <s v="231.73K"/>
    <n v="56030"/>
    <s v="56.03K"/>
    <n v="4.1358200963769409"/>
    <n v="190"/>
    <x v="4"/>
  </r>
  <r>
    <x v="190"/>
    <x v="190"/>
    <n v="5.1000000000000004E-3"/>
    <n v="1.0200000000000001E-2"/>
    <n v="3340000"/>
    <s v="3.34M"/>
    <n v="242530"/>
    <s v="242.53K"/>
    <n v="649960000"/>
    <s v="649.96M"/>
    <n v="3.7314603975629269E-4"/>
    <n v="190"/>
    <x v="5"/>
  </r>
  <r>
    <x v="191"/>
    <x v="191"/>
    <n v="0.01"/>
    <n v="8.9999999999999998E-4"/>
    <n v="3330000"/>
    <s v="3.33M"/>
    <n v="8070"/>
    <s v="8.07K"/>
    <n v="331780000"/>
    <s v="331.78M"/>
    <n v="2.4323346796069686E-5"/>
    <n v="192"/>
    <x v="5"/>
  </r>
  <r>
    <x v="192"/>
    <x v="192"/>
    <n v="0.23039999999999999"/>
    <n v="5.0000000000000001E-4"/>
    <n v="3330000"/>
    <s v="3.33M"/>
    <n v="3970"/>
    <s v="3.97K"/>
    <n v="14440000"/>
    <s v="14.44M"/>
    <n v="2.7493074792243769E-4"/>
    <n v="192"/>
    <x v="5"/>
  </r>
  <r>
    <x v="193"/>
    <x v="193"/>
    <n v="0.1653"/>
    <n v="4.5999999999999999E-3"/>
    <n v="3320000"/>
    <s v="3.32M"/>
    <n v="27640"/>
    <s v="27.64K"/>
    <n v="20140000"/>
    <s v="20.14M"/>
    <n v="1.3723932472691162E-3"/>
    <n v="194"/>
    <x v="5"/>
  </r>
  <r>
    <x v="194"/>
    <x v="194"/>
    <n v="1.2999999999999999E-3"/>
    <n v="3.2000000000000002E-3"/>
    <n v="3310000"/>
    <s v="3.31M"/>
    <n v="176180"/>
    <s v="176.18K"/>
    <n v="2650000000"/>
    <s v="2.65B"/>
    <n v="6.6483018867924523E-5"/>
    <n v="196"/>
    <x v="5"/>
  </r>
  <r>
    <x v="195"/>
    <x v="195"/>
    <n v="8.0000000000000004E-4"/>
    <n v="5.7999999999999996E-3"/>
    <n v="3310000"/>
    <s v="3.31M"/>
    <n v="239.95"/>
    <s v="239.95"/>
    <n v="4190000000.0000005"/>
    <s v="4.19B"/>
    <n v="5.7267303102625288E-8"/>
    <n v="196"/>
    <x v="5"/>
  </r>
  <r>
    <x v="196"/>
    <x v="196"/>
    <n v="3.32E-2"/>
    <n v="3.5999999999999999E-3"/>
    <n v="3320000"/>
    <s v="3.32M"/>
    <n v="37100"/>
    <s v="37.1K"/>
    <n v="99990000"/>
    <s v="99.99M"/>
    <n v="3.7103710371037103E-4"/>
    <n v="194"/>
    <x v="5"/>
  </r>
  <r>
    <x v="197"/>
    <x v="197"/>
    <n v="3.3E-3"/>
    <n v="4.1000000000000003E-3"/>
    <n v="3290000"/>
    <s v="3.29M"/>
    <n v="447370"/>
    <s v="447.37K"/>
    <n v="1000000000"/>
    <s v="1B"/>
    <n v="4.4736999999999999E-4"/>
    <n v="198"/>
    <x v="5"/>
  </r>
  <r>
    <x v="198"/>
    <x v="198"/>
    <n v="9.7000000000000003E-3"/>
    <n v="6.9999999999999999E-4"/>
    <n v="3290000"/>
    <s v="3.29M"/>
    <n v="103070"/>
    <s v="103.07K"/>
    <n v="339060000"/>
    <s v="339.06M"/>
    <n v="3.0398749483867164E-4"/>
    <n v="198"/>
    <x v="5"/>
  </r>
  <r>
    <x v="199"/>
    <x v="199"/>
    <n v="505.12"/>
    <n v="4.0000000000000002E-4"/>
    <n v="2640000"/>
    <s v="2.64M"/>
    <n v="16670"/>
    <s v="16.67K"/>
    <n v="5240"/>
    <s v="5.24K"/>
    <n v="3.1812977099236641"/>
    <n v="200"/>
    <x v="0"/>
  </r>
  <r>
    <x v="200"/>
    <x v="200"/>
    <n v="167.91"/>
    <n v="1.09E-2"/>
    <n v="2620000"/>
    <s v="2.62M"/>
    <n v="1380000"/>
    <s v="1.38M"/>
    <n v="15640"/>
    <s v="15.64K"/>
    <n v="88.235294117647058"/>
    <n v="201"/>
    <x v="0"/>
  </r>
  <r>
    <x v="201"/>
    <x v="201"/>
    <n v="196.21"/>
    <n v="1.8E-3"/>
    <n v="2610000"/>
    <s v="2.61M"/>
    <n v="1520000"/>
    <s v="1.52M"/>
    <n v="13350"/>
    <s v="13.35K"/>
    <n v="113.85767790262172"/>
    <n v="202"/>
    <x v="0"/>
  </r>
  <r>
    <x v="202"/>
    <x v="202"/>
    <n v="55.54"/>
    <n v="9.1999999999999998E-3"/>
    <n v="2610000"/>
    <s v="2.61M"/>
    <n v="721800"/>
    <s v="721.8K"/>
    <n v="47140"/>
    <s v="47.14K"/>
    <n v="15.311837081035215"/>
    <n v="202"/>
    <x v="4"/>
  </r>
  <r>
    <x v="203"/>
    <x v="203"/>
    <n v="1.34E-2"/>
    <n v="1.1000000000000001E-3"/>
    <n v="2610000"/>
    <s v="2.61M"/>
    <n v="1010"/>
    <s v="1.01K"/>
    <n v="195420000"/>
    <s v="195.42M"/>
    <n v="5.1683553372223932E-6"/>
    <n v="202"/>
    <x v="5"/>
  </r>
  <r>
    <x v="204"/>
    <x v="204"/>
    <n v="2.5999999999999999E-3"/>
    <n v="3.9100000000000003E-2"/>
    <n v="2610000"/>
    <s v="2.61M"/>
    <n v="134020"/>
    <s v="134.02K"/>
    <n v="999990000"/>
    <s v="999.99M"/>
    <n v="1.3402134021340214E-4"/>
    <n v="202"/>
    <x v="5"/>
  </r>
  <r>
    <x v="205"/>
    <x v="205"/>
    <n v="2.24E-2"/>
    <n v="5.4000000000000003E-3"/>
    <n v="2610000"/>
    <s v="2.61M"/>
    <n v="187550"/>
    <s v="187.55K"/>
    <n v="117180000"/>
    <s v="117.18M"/>
    <n v="1.6005291005291005E-3"/>
    <n v="202"/>
    <x v="5"/>
  </r>
  <r>
    <x v="206"/>
    <x v="206"/>
    <n v="2.5999999999999999E-3"/>
    <n v="2.2599999999999999E-2"/>
    <n v="2600000"/>
    <s v="2.6M"/>
    <n v="489010"/>
    <s v="489.01K"/>
    <n v="1000000000"/>
    <s v="1B"/>
    <n v="4.8901000000000001E-4"/>
    <n v="207"/>
    <x v="5"/>
  </r>
  <r>
    <x v="207"/>
    <x v="207"/>
    <n v="8.8999999999999999E-3"/>
    <n v="1.1000000000000001E-3"/>
    <n v="2590000"/>
    <s v="2.59M"/>
    <n v="26760"/>
    <s v="26.76K"/>
    <n v="292500000"/>
    <s v="292.5M"/>
    <n v="9.1487179487179487E-5"/>
    <n v="208"/>
    <x v="5"/>
  </r>
  <r>
    <x v="208"/>
    <x v="208"/>
    <n v="0.26050000000000001"/>
    <n v="8.0000000000000004E-4"/>
    <n v="2580000"/>
    <s v="2.58M"/>
    <n v="84790"/>
    <s v="84.79K"/>
    <n v="9930000"/>
    <s v="9.93M"/>
    <n v="8.5387713997985906E-3"/>
    <n v="209"/>
    <x v="5"/>
  </r>
  <r>
    <x v="209"/>
    <x v="209"/>
    <n v="7.4999999999999997E-3"/>
    <n v="4.1000000000000003E-3"/>
    <n v="2580000"/>
    <s v="2.58M"/>
    <n v="446670"/>
    <s v="446.67K"/>
    <n v="344850000"/>
    <s v="344.85M"/>
    <n v="1.2952588081774684E-3"/>
    <n v="209"/>
    <x v="5"/>
  </r>
  <r>
    <x v="210"/>
    <x v="210"/>
    <n v="3.3E-3"/>
    <n v="1.1000000000000001E-3"/>
    <n v="2580000"/>
    <s v="2.58M"/>
    <n v="1170"/>
    <s v="1.17K"/>
    <n v="792550000"/>
    <s v="792.55M"/>
    <n v="1.4762475553592834E-6"/>
    <n v="209"/>
    <x v="5"/>
  </r>
  <r>
    <x v="211"/>
    <x v="211"/>
    <n v="52.43"/>
    <n v="2.3E-3"/>
    <n v="2570000"/>
    <s v="2.57M"/>
    <n v="765650"/>
    <s v="765.65K"/>
    <n v="49160"/>
    <s v="49.16K"/>
    <n v="15.574654190398698"/>
    <n v="212"/>
    <x v="4"/>
  </r>
  <r>
    <x v="212"/>
    <x v="212"/>
    <n v="0.2039"/>
    <n v="6.4999999999999997E-3"/>
    <n v="2570000"/>
    <s v="2.57M"/>
    <n v="1390000"/>
    <s v="1.39M"/>
    <n v="12620000"/>
    <s v="12.62M"/>
    <n v="0.11014263074484945"/>
    <n v="212"/>
    <x v="5"/>
  </r>
  <r>
    <x v="213"/>
    <x v="213"/>
    <n v="549.42999999999995"/>
    <n v="6.1000000000000004E-3"/>
    <n v="2570000"/>
    <s v="2.57M"/>
    <n v="130430"/>
    <s v="130.43K"/>
    <n v="4680"/>
    <s v="4.68K"/>
    <n v="27.869658119658119"/>
    <n v="212"/>
    <x v="0"/>
  </r>
  <r>
    <x v="214"/>
    <x v="214"/>
    <n v="9.9000000000000005E-2"/>
    <n v="2.5000000000000001E-3"/>
    <n v="2029999.9999999998"/>
    <s v="2.03M"/>
    <n v="284190"/>
    <s v="284.19K"/>
    <n v="20580000"/>
    <s v="20.58M"/>
    <n v="1.3809037900874635E-2"/>
    <n v="215"/>
    <x v="5"/>
  </r>
  <r>
    <x v="215"/>
    <x v="215"/>
    <n v="8.0000000000000004E-4"/>
    <n v="2.7000000000000001E-3"/>
    <n v="2029999.9999999998"/>
    <s v="2.03M"/>
    <n v="75450"/>
    <s v="75.45K"/>
    <n v="2680000000"/>
    <s v="2.68B"/>
    <n v="2.8152985074626864E-5"/>
    <n v="215"/>
    <x v="5"/>
  </r>
  <r>
    <x v="216"/>
    <x v="216"/>
    <n v="2E-3"/>
    <n v="8.0000000000000004E-4"/>
    <n v="2029999.9999999998"/>
    <s v="2.03M"/>
    <n v="28220"/>
    <s v="28.22K"/>
    <n v="1000000000"/>
    <s v="1B"/>
    <n v="2.8220000000000001E-5"/>
    <n v="215"/>
    <x v="5"/>
  </r>
  <r>
    <x v="217"/>
    <x v="217"/>
    <n v="40.76"/>
    <n v="1.77E-2"/>
    <n v="2009999.9999999998"/>
    <s v="2.01M"/>
    <n v="1670000"/>
    <s v="1.67M"/>
    <n v="49340"/>
    <s v="49.34K"/>
    <n v="33.846777462505067"/>
    <n v="219"/>
    <x v="4"/>
  </r>
  <r>
    <x v="218"/>
    <x v="218"/>
    <n v="2.9999999999999997E-4"/>
    <n v="3.85E-2"/>
    <n v="2020000"/>
    <s v="2.02M"/>
    <n v="76420"/>
    <s v="76.42K"/>
    <n v="7800000000"/>
    <s v="7.8B"/>
    <n v="9.7974358974358981E-6"/>
    <n v="218"/>
    <x v="5"/>
  </r>
  <r>
    <x v="219"/>
    <x v="219"/>
    <n v="446.18"/>
    <n v="1E-4"/>
    <n v="2000000"/>
    <s v="2M"/>
    <n v="323670"/>
    <s v="323.67K"/>
    <n v="4490"/>
    <s v="4.49K"/>
    <n v="72.086859688195986"/>
    <n v="220"/>
    <x v="0"/>
  </r>
  <r>
    <x v="220"/>
    <x v="220"/>
    <n v="194.04"/>
    <n v="8.5000000000000006E-3"/>
    <n v="1990000"/>
    <s v="1.99M"/>
    <n v="133470"/>
    <s v="133.47K"/>
    <n v="10290"/>
    <s v="10.29K"/>
    <n v="12.970845481049563"/>
    <n v="221"/>
    <x v="0"/>
  </r>
  <r>
    <x v="221"/>
    <x v="221"/>
    <n v="2.0000000000000001E-4"/>
    <n v="1.2999999999999999E-3"/>
    <n v="1980000"/>
    <s v="1.98M"/>
    <n v="7240"/>
    <s v="7.24K"/>
    <n v="10260000000"/>
    <s v="10.26B"/>
    <n v="7.0565302144249512E-7"/>
    <n v="222"/>
    <x v="5"/>
  </r>
  <r>
    <x v="222"/>
    <x v="222"/>
    <n v="8.6999999999999994E-3"/>
    <n v="1.6999999999999999E-3"/>
    <n v="1980000"/>
    <s v="1.98M"/>
    <n v="1330000"/>
    <s v="1.33M"/>
    <n v="227360000"/>
    <s v="227.36M"/>
    <n v="5.8497536945812806E-3"/>
    <n v="222"/>
    <x v="5"/>
  </r>
  <r>
    <x v="223"/>
    <x v="223"/>
    <n v="364.31"/>
    <n v="1E-4"/>
    <n v="1970000"/>
    <s v="1.97M"/>
    <n v="307540"/>
    <s v="307.54K"/>
    <n v="5430"/>
    <s v="5.43K"/>
    <n v="56.637200736648253"/>
    <n v="225"/>
    <x v="0"/>
  </r>
  <r>
    <x v="224"/>
    <x v="224"/>
    <n v="7.7000000000000002E-3"/>
    <n v="3.8E-3"/>
    <n v="1980000"/>
    <s v="1.98M"/>
    <n v="62360"/>
    <s v="62.36K"/>
    <n v="257760000"/>
    <s v="257.76M"/>
    <n v="2.4193047796399752E-4"/>
    <n v="222"/>
    <x v="5"/>
  </r>
  <r>
    <x v="225"/>
    <x v="225"/>
    <n v="2.92E-2"/>
    <n v="1.5E-3"/>
    <n v="1970000"/>
    <s v="1.97M"/>
    <n v="1860"/>
    <s v="1.86K"/>
    <n v="67700000"/>
    <s v="67.7M"/>
    <n v="2.7474150664697195E-5"/>
    <n v="225"/>
    <x v="5"/>
  </r>
  <r>
    <x v="226"/>
    <x v="226"/>
    <n v="446.65"/>
    <n v="4.0000000000000002E-4"/>
    <n v="1970000"/>
    <s v="1.97M"/>
    <n v="2770000"/>
    <s v="2.77M"/>
    <n v="4410"/>
    <s v="4.41K"/>
    <n v="628.11791383219952"/>
    <n v="225"/>
    <x v="0"/>
  </r>
  <r>
    <x v="227"/>
    <x v="227"/>
    <n v="8.1799999999999998E-2"/>
    <n v="1.1299999999999999E-2"/>
    <n v="1590000"/>
    <s v="1.59M"/>
    <n v="226330"/>
    <s v="226.33K"/>
    <n v="19480000"/>
    <s v="19.48M"/>
    <n v="1.1618583162217659E-2"/>
    <n v="228"/>
    <x v="5"/>
  </r>
  <r>
    <x v="228"/>
    <x v="228"/>
    <n v="8.1699999999999995E-2"/>
    <n v="2.0999999999999999E-3"/>
    <n v="1590000"/>
    <s v="1.59M"/>
    <n v="108790"/>
    <s v="108.79K"/>
    <n v="960420000000000"/>
    <s v="960.42T"/>
    <n v="1.1327335957185398E-10"/>
    <n v="228"/>
    <x v="5"/>
  </r>
  <r>
    <x v="229"/>
    <x v="229"/>
    <n v="7.7999999999999996E-3"/>
    <n v="1.6000000000000001E-3"/>
    <n v="1590000"/>
    <s v="1.59M"/>
    <n v="610250"/>
    <s v="610.25K"/>
    <n v="205000000"/>
    <s v="205M"/>
    <n v="2.9768292682926831E-3"/>
    <n v="228"/>
    <x v="5"/>
  </r>
  <r>
    <x v="230"/>
    <x v="230"/>
    <n v="2.0999999999999999E-3"/>
    <n v="1.1999999999999999E-3"/>
    <n v="1580000"/>
    <s v="1.58M"/>
    <n v="110020"/>
    <s v="110.02K"/>
    <n v="754340000"/>
    <s v="754.34M"/>
    <n v="1.4584935175119973E-4"/>
    <n v="231"/>
    <x v="5"/>
  </r>
  <r>
    <x v="231"/>
    <x v="231"/>
    <n v="0.14979999999999999"/>
    <n v="0"/>
    <n v="1580000"/>
    <s v="1.58M"/>
    <n v="163.88"/>
    <s v="163.88"/>
    <n v="10570000"/>
    <s v="10.57M"/>
    <n v="1.55042573320719E-5"/>
    <n v="231"/>
    <x v="5"/>
  </r>
  <r>
    <x v="232"/>
    <x v="232"/>
    <n v="5.2900000000000003E-2"/>
    <n v="1.9E-3"/>
    <n v="1580000"/>
    <s v="1.58M"/>
    <n v="14390"/>
    <s v="14.39K"/>
    <n v="29940000"/>
    <s v="29.94M"/>
    <n v="4.8062792251169005E-4"/>
    <n v="231"/>
    <x v="5"/>
  </r>
  <r>
    <x v="233"/>
    <x v="233"/>
    <n v="76.900000000000006"/>
    <n v="7.4000000000000003E-3"/>
    <n v="1570000"/>
    <s v="1.57M"/>
    <n v="209200"/>
    <s v="209.2K"/>
    <n v="20500"/>
    <s v="20.5K"/>
    <n v="10.204878048780488"/>
    <n v="234"/>
    <x v="4"/>
  </r>
  <r>
    <x v="234"/>
    <x v="234"/>
    <n v="568.13"/>
    <n v="7.3000000000000001E-3"/>
    <n v="1570000"/>
    <s v="1.57M"/>
    <n v="2720000"/>
    <s v="2.72M"/>
    <n v="2760"/>
    <s v="2.76K"/>
    <n v="985.50724637681162"/>
    <n v="234"/>
    <x v="0"/>
  </r>
  <r>
    <x v="235"/>
    <x v="235"/>
    <n v="2.0000000000000001E-4"/>
    <n v="8.0000000000000004E-4"/>
    <n v="1570000"/>
    <s v="1.57M"/>
    <n v="92510"/>
    <s v="92.51K"/>
    <n v="7000000000"/>
    <s v="7B"/>
    <n v="1.3215714285714286E-5"/>
    <n v="234"/>
    <x v="5"/>
  </r>
  <r>
    <x v="236"/>
    <x v="236"/>
    <n v="2.9999999999999997E-4"/>
    <n v="0"/>
    <n v="1560000"/>
    <s v="1.56M"/>
    <n v="366020"/>
    <s v="366.02K"/>
    <n v="6190000000"/>
    <s v="6.19B"/>
    <n v="5.9130856219709206E-5"/>
    <n v="237"/>
    <x v="5"/>
  </r>
  <r>
    <x v="237"/>
    <x v="237"/>
    <n v="5.9999999999999995E-4"/>
    <n v="2.0500000000000001E-2"/>
    <n v="1550000"/>
    <s v="1.55M"/>
    <n v="20640"/>
    <s v="20.64K"/>
    <n v="2510000000"/>
    <s v="2.51B"/>
    <n v="8.2231075697211163E-6"/>
    <n v="238"/>
    <x v="5"/>
  </r>
  <r>
    <x v="238"/>
    <x v="238"/>
    <n v="9.2999999999999992E-3"/>
    <n v="1.9E-3"/>
    <n v="1290000"/>
    <s v="1.29M"/>
    <n v="122730"/>
    <s v="122.73K"/>
    <n v="139770000"/>
    <s v="139.77M"/>
    <n v="8.7808542605709381E-4"/>
    <n v="239"/>
    <x v="5"/>
  </r>
  <r>
    <x v="239"/>
    <x v="239"/>
    <n v="8.0000000000000004E-4"/>
    <n v="8.0000000000000002E-3"/>
    <n v="1290000"/>
    <s v="1.29M"/>
    <n v="111660"/>
    <s v="111.66K"/>
    <n v="1610000000"/>
    <s v="1.61B"/>
    <n v="6.9354037267080752E-5"/>
    <n v="239"/>
    <x v="5"/>
  </r>
  <r>
    <x v="240"/>
    <x v="240"/>
    <n v="2.9999999999999997E-4"/>
    <n v="1.06E-2"/>
    <n v="1290000"/>
    <s v="1.29M"/>
    <n v="11410"/>
    <s v="11.41K"/>
    <n v="4680000000"/>
    <s v="4.68B"/>
    <n v="2.4380341880341881E-6"/>
    <n v="239"/>
    <x v="5"/>
  </r>
  <r>
    <x v="241"/>
    <x v="241"/>
    <n v="108.69"/>
    <n v="1.1999999999999999E-3"/>
    <n v="1280000"/>
    <s v="1.28M"/>
    <n v="938760"/>
    <s v="938.76K"/>
    <n v="11860"/>
    <s v="11.86K"/>
    <n v="79.153456998313658"/>
    <n v="242"/>
    <x v="0"/>
  </r>
  <r>
    <x v="242"/>
    <x v="242"/>
    <n v="1.2999999999999999E-3"/>
    <n v="2E-3"/>
    <n v="1280000"/>
    <s v="1.28M"/>
    <n v="33770"/>
    <s v="33.77K"/>
    <n v="1000000000"/>
    <s v="1B"/>
    <n v="3.3769999999999997E-5"/>
    <n v="242"/>
    <x v="5"/>
  </r>
  <r>
    <x v="243"/>
    <x v="243"/>
    <n v="85.3"/>
    <n v="2.2000000000000001E-3"/>
    <n v="1280000"/>
    <s v="1.28M"/>
    <n v="273940"/>
    <s v="273.94K"/>
    <n v="15050"/>
    <s v="15.05K"/>
    <n v="18.201993355481729"/>
    <n v="242"/>
    <x v="4"/>
  </r>
  <r>
    <x v="244"/>
    <x v="244"/>
    <n v="8.0000000000000002E-3"/>
    <n v="1.1000000000000001E-3"/>
    <n v="1270000"/>
    <s v="1.27M"/>
    <n v="834210"/>
    <s v="834.21K"/>
    <n v="160840000"/>
    <s v="160.84M"/>
    <n v="5.1865829395672716E-3"/>
    <n v="245"/>
    <x v="5"/>
  </r>
  <r>
    <x v="245"/>
    <x v="245"/>
    <n v="72.87"/>
    <n v="2.9999999999999997E-4"/>
    <n v="1270000"/>
    <s v="1.27M"/>
    <n v="135900"/>
    <s v="135.9K"/>
    <n v="17530"/>
    <s v="17.53K"/>
    <n v="7.7524244152880772"/>
    <n v="245"/>
    <x v="4"/>
  </r>
  <r>
    <x v="246"/>
    <x v="246"/>
    <n v="8.3000000000000004E-2"/>
    <n v="1.26E-2"/>
    <n v="1270000"/>
    <s v="1.27M"/>
    <n v="3840"/>
    <s v="3.84K"/>
    <n v="420690000000000"/>
    <s v="420.69T"/>
    <n v="9.127861370605434E-12"/>
    <n v="245"/>
    <x v="5"/>
  </r>
  <r>
    <x v="247"/>
    <x v="247"/>
    <n v="2.5000000000000001E-3"/>
    <n v="2.8999999999999998E-3"/>
    <n v="1270000"/>
    <s v="1.27M"/>
    <n v="94550"/>
    <s v="94.55K"/>
    <n v="503180000"/>
    <s v="503.18M"/>
    <n v="1.8790492467904129E-4"/>
    <n v="245"/>
    <x v="5"/>
  </r>
  <r>
    <x v="248"/>
    <x v="248"/>
    <n v="4.8599999999999997E-2"/>
    <n v="6.9999999999999999E-4"/>
    <n v="1260000"/>
    <s v="1.26M"/>
    <n v="5.87"/>
    <s v="5.87"/>
    <n v="26090000"/>
    <s v="26.09M"/>
    <n v="2.249904177845918E-7"/>
    <n v="249"/>
    <x v="5"/>
  </r>
  <r>
    <x v="249"/>
    <x v="249"/>
    <n v="9.6199999999999994E-2"/>
    <n v="2.3999999999999998E-3"/>
    <n v="1260000"/>
    <s v="1.26M"/>
    <n v="67320"/>
    <s v="67.32K"/>
    <n v="13170000"/>
    <s v="13.17M"/>
    <n v="5.1116173120728933E-3"/>
    <n v="249"/>
    <x v="5"/>
  </r>
  <r>
    <x v="250"/>
    <x v="250"/>
    <n v="2.1000000000000001E-2"/>
    <n v="1.8E-3"/>
    <n v="1070000"/>
    <s v="1.07M"/>
    <n v="56390"/>
    <s v="56.39K"/>
    <n v="51390000"/>
    <s v="51.39M"/>
    <n v="1.0972951936174353E-3"/>
    <n v="251"/>
    <x v="5"/>
  </r>
  <r>
    <x v="251"/>
    <x v="251"/>
    <n v="5.2600000000000001E-2"/>
    <n v="5.3E-3"/>
    <n v="1070000"/>
    <s v="1.07M"/>
    <n v="1320"/>
    <s v="1.32K"/>
    <n v="410270000000"/>
    <s v="410.27B"/>
    <n v="3.2173934238428352E-9"/>
    <n v="251"/>
    <x v="5"/>
  </r>
  <r>
    <x v="252"/>
    <x v="252"/>
    <n v="270.05"/>
    <n v="2.3999999999999998E-3"/>
    <n v="1070000"/>
    <s v="1.07M"/>
    <n v="3650000"/>
    <s v="3.65M"/>
    <n v="3990"/>
    <s v="3.99K"/>
    <n v="914.7869674185464"/>
    <n v="251"/>
    <x v="0"/>
  </r>
  <r>
    <x v="253"/>
    <x v="253"/>
    <n v="22.95"/>
    <n v="0"/>
    <n v="1070000"/>
    <s v="1.07M"/>
    <n v="74870"/>
    <s v="74.87K"/>
    <n v="46640"/>
    <s v="46.64K"/>
    <n v="1.6052744425385934"/>
    <n v="251"/>
    <x v="4"/>
  </r>
  <r>
    <x v="254"/>
    <x v="254"/>
    <n v="2.0999999999999999E-3"/>
    <n v="1E-3"/>
    <n v="1060000"/>
    <s v="1.06M"/>
    <n v="129780"/>
    <s v="129.78K"/>
    <n v="504080000"/>
    <s v="504.08M"/>
    <n v="2.5745913347087766E-4"/>
    <n v="255"/>
    <x v="5"/>
  </r>
  <r>
    <x v="255"/>
    <x v="255"/>
    <n v="5.7000000000000002E-3"/>
    <n v="3.4200000000000001E-2"/>
    <n v="1060000"/>
    <s v="1.06M"/>
    <n v="13740"/>
    <s v="13.74K"/>
    <n v="185930000"/>
    <s v="185.93M"/>
    <n v="7.3898779110417894E-5"/>
    <n v="255"/>
    <x v="5"/>
  </r>
  <r>
    <x v="256"/>
    <x v="256"/>
    <n v="1E-4"/>
    <n v="0"/>
    <n v="1040000"/>
    <s v="1.04M"/>
    <n v="53830"/>
    <s v="53.83K"/>
    <n v="15900000000"/>
    <s v="15.9B"/>
    <n v="3.3855345911949686E-6"/>
    <n v="260"/>
    <x v="5"/>
  </r>
  <r>
    <x v="257"/>
    <x v="257"/>
    <n v="17.850000000000001"/>
    <n v="8.0000000000000004E-4"/>
    <n v="1060000"/>
    <s v="1.06M"/>
    <n v="162760"/>
    <s v="162.76K"/>
    <n v="59480"/>
    <s v="59.48K"/>
    <n v="2.7363819771351716"/>
    <n v="255"/>
    <x v="4"/>
  </r>
  <r>
    <x v="258"/>
    <x v="258"/>
    <n v="7.0599999999999996E-2"/>
    <n v="1.9E-3"/>
    <n v="1050000"/>
    <s v="1.05M"/>
    <n v="92990"/>
    <s v="92.99K"/>
    <n v="14950000"/>
    <s v="14.95M"/>
    <n v="6.2200668896321074E-3"/>
    <n v="258"/>
    <x v="5"/>
  </r>
  <r>
    <x v="259"/>
    <x v="259"/>
    <n v="5.2499999999999998E-2"/>
    <n v="0"/>
    <n v="1050000"/>
    <s v="1.05M"/>
    <n v="41110"/>
    <s v="41.11K"/>
    <n v="420690000000"/>
    <s v="420.69B"/>
    <n v="9.7720411704580574E-8"/>
    <n v="258"/>
    <x v="5"/>
  </r>
  <r>
    <x v="260"/>
    <x v="260"/>
    <n v="7.9299999999999995E-2"/>
    <n v="6.4999999999999997E-3"/>
    <n v="1040000"/>
    <s v="1.04M"/>
    <n v="248070"/>
    <s v="248.07K"/>
    <n v="13180000"/>
    <s v="13.18M"/>
    <n v="1.8821699544764797E-2"/>
    <n v="260"/>
    <x v="5"/>
  </r>
  <r>
    <x v="261"/>
    <x v="261"/>
    <n v="1.4E-3"/>
    <n v="1.3599999999999999E-2"/>
    <n v="1030000"/>
    <s v="1.03M"/>
    <n v="168410"/>
    <s v="168.41K"/>
    <n v="718010000"/>
    <s v="718.01M"/>
    <n v="2.3455105082101921E-4"/>
    <n v="262"/>
    <x v="5"/>
  </r>
  <r>
    <x v="262"/>
    <x v="262"/>
    <n v="5.0000000000000001E-4"/>
    <n v="2.8E-3"/>
    <n v="1030000"/>
    <s v="1.03M"/>
    <n v="56280"/>
    <s v="56.28K"/>
    <n v="1970000000"/>
    <s v="1.97B"/>
    <n v="2.8568527918781727E-5"/>
    <n v="262"/>
    <x v="5"/>
  </r>
  <r>
    <x v="263"/>
    <x v="263"/>
    <n v="1E-3"/>
    <n v="7.4000000000000003E-3"/>
    <n v="1030000"/>
    <s v="1.03M"/>
    <n v="11070"/>
    <s v="11.07K"/>
    <n v="999720000"/>
    <s v="999.72M"/>
    <n v="1.1073100468131077E-5"/>
    <n v="262"/>
    <x v="5"/>
  </r>
  <r>
    <x v="264"/>
    <x v="264"/>
    <n v="66.81"/>
    <n v="2.3E-3"/>
    <n v="878450"/>
    <s v="878.45K"/>
    <n v="1310000"/>
    <s v="1.31M"/>
    <n v="13140"/>
    <s v="13.14K"/>
    <n v="99.695585996955856"/>
    <n v="265"/>
    <x v="4"/>
  </r>
  <r>
    <x v="265"/>
    <x v="265"/>
    <n v="6.4000000000000003E-3"/>
    <n v="1E-4"/>
    <n v="876320"/>
    <s v="876.32K"/>
    <n v="1000"/>
    <s v="1K"/>
    <n v="135950000"/>
    <s v="135.95M"/>
    <n v="7.3556454578889301E-6"/>
    <n v="266"/>
    <x v="5"/>
  </r>
  <r>
    <x v="266"/>
    <x v="266"/>
    <n v="2.0000000000000001E-4"/>
    <n v="3.2000000000000002E-3"/>
    <n v="874500"/>
    <s v="874.5K"/>
    <n v="14290"/>
    <s v="14.29K"/>
    <n v="3650000000"/>
    <s v="3.65B"/>
    <n v="3.9150684931506846E-6"/>
    <n v="267"/>
    <x v="5"/>
  </r>
  <r>
    <x v="267"/>
    <x v="267"/>
    <n v="0.45860000000000001"/>
    <n v="2.0000000000000001E-4"/>
    <n v="871340"/>
    <s v="871.34K"/>
    <n v="90040"/>
    <s v="90.04K"/>
    <n v="1900000"/>
    <s v="1.9M"/>
    <n v="4.7389473684210523E-2"/>
    <n v="268"/>
    <x v="5"/>
  </r>
  <r>
    <x v="268"/>
    <x v="268"/>
    <n v="4.1999999999999997E-3"/>
    <n v="0.13070000000000001"/>
    <n v="870840"/>
    <s v="870.84K"/>
    <n v="1370"/>
    <s v="1.37K"/>
    <n v="208640000"/>
    <s v="208.64M"/>
    <n v="6.5663343558282207E-6"/>
    <n v="269"/>
    <x v="5"/>
  </r>
  <r>
    <x v="269"/>
    <x v="269"/>
    <n v="226.51"/>
    <n v="6.4999999999999997E-3"/>
    <n v="867340"/>
    <s v="867.34K"/>
    <n v="396120"/>
    <s v="396.12K"/>
    <n v="3820"/>
    <s v="3.82K"/>
    <n v="103.69633507853403"/>
    <n v="270"/>
    <x v="0"/>
  </r>
  <r>
    <x v="270"/>
    <x v="270"/>
    <n v="1.78E-2"/>
    <n v="4.0000000000000002E-4"/>
    <n v="867080"/>
    <s v="867.08K"/>
    <n v="74250"/>
    <s v="74.25K"/>
    <n v="48600000"/>
    <s v="48.6M"/>
    <n v="1.5277777777777779E-3"/>
    <n v="271"/>
    <x v="5"/>
  </r>
  <r>
    <x v="271"/>
    <x v="271"/>
    <n v="6.4000000000000001E-2"/>
    <n v="3.78E-2"/>
    <n v="864210"/>
    <s v="864.21K"/>
    <n v="235260"/>
    <s v="235.26K"/>
    <n v="13500000"/>
    <s v="13.5M"/>
    <n v="1.7426666666666667E-2"/>
    <n v="274"/>
    <x v="5"/>
  </r>
  <r>
    <x v="272"/>
    <x v="272"/>
    <n v="6.8999999999999999E-3"/>
    <n v="6.1000000000000004E-3"/>
    <n v="865700"/>
    <s v="865.7K"/>
    <n v="77550"/>
    <s v="77.55K"/>
    <n v="126120000"/>
    <s v="126.12M"/>
    <n v="6.1489058039961941E-4"/>
    <n v="272"/>
    <x v="5"/>
  </r>
  <r>
    <x v="273"/>
    <x v="273"/>
    <n v="3.5000000000000001E-3"/>
    <n v="4.1999999999999997E-3"/>
    <n v="865210"/>
    <s v="865.21K"/>
    <n v="69250"/>
    <s v="69.25K"/>
    <n v="249890000"/>
    <s v="249.89M"/>
    <n v="2.7712193365080637E-4"/>
    <n v="273"/>
    <x v="5"/>
  </r>
  <r>
    <x v="274"/>
    <x v="274"/>
    <n v="728.28"/>
    <n v="1.2999999999999999E-3"/>
    <n v="863850"/>
    <s v="863.85K"/>
    <n v="2089999.9999999998"/>
    <s v="2.09M"/>
    <n v="1180"/>
    <s v="1.18K"/>
    <n v="1771.1864406779659"/>
    <n v="275"/>
    <x v="0"/>
  </r>
  <r>
    <x v="275"/>
    <x v="275"/>
    <n v="152.80000000000001"/>
    <n v="2.3999999999999998E-3"/>
    <n v="859500"/>
    <s v="859.5K"/>
    <n v="559.89"/>
    <s v="559.89"/>
    <n v="5620"/>
    <s v="5.62K"/>
    <n v="9.9624555160142347E-2"/>
    <n v="2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761334-7EE6-4F98-A994-E88A0E7B0E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in Name">
  <location ref="A35:C46" firstHeaderRow="0" firstDataRow="1" firstDataCol="1"/>
  <pivotFields count="13">
    <pivotField axis="axisRow" showAll="0" measureFilter="1">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items count="8">
        <item x="2"/>
        <item x="5"/>
        <item x="1"/>
        <item x="0"/>
        <item x="4"/>
        <item x="3"/>
        <item x="6"/>
        <item t="default"/>
      </items>
    </pivotField>
  </pivotFields>
  <rowFields count="1">
    <field x="0"/>
  </rowFields>
  <rowItems count="11">
    <i>
      <x v="9"/>
    </i>
    <i>
      <x v="24"/>
    </i>
    <i>
      <x v="111"/>
    </i>
    <i>
      <x v="138"/>
    </i>
    <i>
      <x v="143"/>
    </i>
    <i>
      <x v="144"/>
    </i>
    <i>
      <x v="145"/>
    </i>
    <i>
      <x v="156"/>
    </i>
    <i>
      <x v="209"/>
    </i>
    <i>
      <x v="258"/>
    </i>
    <i t="grand">
      <x/>
    </i>
  </rowItems>
  <colFields count="1">
    <field x="-2"/>
  </colFields>
  <colItems count="2">
    <i>
      <x/>
    </i>
    <i i="1">
      <x v="1"/>
    </i>
  </colItems>
  <dataFields count="2">
    <dataField name=" Dollar Volume Per Supply" fld="10" baseField="0" baseItem="0"/>
    <dataField name=" Price (USD)" fld="2"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F4E82-C213-461F-B09B-718DD92AE7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W6:W7" firstHeaderRow="1" firstDataRow="1" firstDataCol="0"/>
  <pivotFields count="13">
    <pivotField showAll="0">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Items count="1">
    <i/>
  </rowItems>
  <colItems count="1">
    <i/>
  </colItems>
  <dataFields count="1">
    <dataField name="Sum of Price (US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A428BC-0810-4C88-8355-52941607E48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A53:B74" firstHeaderRow="1" firstDataRow="1" firstDataCol="1"/>
  <pivotFields count="13">
    <pivotField axis="axisRow" showAll="0" measureFilter="1" sortType="descending">
      <items count="277">
        <item x="206"/>
        <item x="99"/>
        <item x="255"/>
        <item x="47"/>
        <item x="12"/>
        <item x="114"/>
        <item x="197"/>
        <item x="125"/>
        <item x="6"/>
        <item x="44"/>
        <item x="131"/>
        <item x="221"/>
        <item x="198"/>
        <item x="91"/>
        <item x="123"/>
        <item x="77"/>
        <item x="179"/>
        <item x="234"/>
        <item x="243"/>
        <item x="115"/>
        <item x="140"/>
        <item x="209"/>
        <item x="192"/>
        <item x="223"/>
        <item x="173"/>
        <item x="144"/>
        <item x="86"/>
        <item x="168"/>
        <item x="35"/>
        <item x="5"/>
        <item x="11"/>
        <item x="41"/>
        <item x="253"/>
        <item x="157"/>
        <item x="196"/>
        <item x="8"/>
        <item x="228"/>
        <item x="156"/>
        <item x="220"/>
        <item x="249"/>
        <item x="101"/>
        <item x="126"/>
        <item x="181"/>
        <item x="235"/>
        <item x="27"/>
        <item x="3"/>
        <item x="107"/>
        <item x="238"/>
        <item x="146"/>
        <item x="71"/>
        <item x="208"/>
        <item x="225"/>
        <item x="110"/>
        <item x="185"/>
        <item x="224"/>
        <item x="100"/>
        <item x="96"/>
        <item x="116"/>
        <item x="207"/>
        <item x="20"/>
        <item x="272"/>
        <item x="135"/>
        <item x="93"/>
        <item x="40"/>
        <item x="7"/>
        <item x="89"/>
        <item x="151"/>
        <item x="78"/>
        <item x="103"/>
        <item x="215"/>
        <item x="182"/>
        <item x="244"/>
        <item x="121"/>
        <item x="266"/>
        <item x="262"/>
        <item x="79"/>
        <item x="127"/>
        <item x="264"/>
        <item x="106"/>
        <item x="233"/>
        <item x="137"/>
        <item x="186"/>
        <item x="141"/>
        <item x="273"/>
        <item x="45"/>
        <item x="227"/>
        <item x="30"/>
        <item x="117"/>
        <item x="256"/>
        <item x="169"/>
        <item x="43"/>
        <item x="66"/>
        <item x="250"/>
        <item x="165"/>
        <item x="260"/>
        <item x="246"/>
        <item x="261"/>
        <item x="105"/>
        <item x="270"/>
        <item x="24"/>
        <item x="63"/>
        <item x="65"/>
        <item x="87"/>
        <item x="120"/>
        <item x="267"/>
        <item x="53"/>
        <item x="232"/>
        <item x="97"/>
        <item x="171"/>
        <item x="72"/>
        <item x="222"/>
        <item x="32"/>
        <item x="124"/>
        <item x="58"/>
        <item x="254"/>
        <item x="211"/>
        <item x="203"/>
        <item x="163"/>
        <item x="245"/>
        <item x="274"/>
        <item x="176"/>
        <item x="54"/>
        <item x="145"/>
        <item x="133"/>
        <item x="13"/>
        <item x="22"/>
        <item x="59"/>
        <item x="251"/>
        <item x="56"/>
        <item x="219"/>
        <item x="226"/>
        <item x="129"/>
        <item x="154"/>
        <item x="95"/>
        <item x="94"/>
        <item x="239"/>
        <item x="213"/>
        <item x="252"/>
        <item x="161"/>
        <item x="82"/>
        <item x="49"/>
        <item x="55"/>
        <item x="62"/>
        <item x="180"/>
        <item x="193"/>
        <item x="175"/>
        <item x="166"/>
        <item x="16"/>
        <item x="164"/>
        <item x="177"/>
        <item x="172"/>
        <item x="52"/>
        <item x="242"/>
        <item x="265"/>
        <item x="268"/>
        <item x="142"/>
        <item x="15"/>
        <item x="138"/>
        <item x="37"/>
        <item x="19"/>
        <item x="50"/>
        <item x="29"/>
        <item x="167"/>
        <item x="200"/>
        <item x="84"/>
        <item x="152"/>
        <item x="147"/>
        <item x="68"/>
        <item x="217"/>
        <item x="90"/>
        <item x="88"/>
        <item x="139"/>
        <item x="212"/>
        <item x="229"/>
        <item x="118"/>
        <item x="74"/>
        <item x="28"/>
        <item x="230"/>
        <item x="153"/>
        <item x="9"/>
        <item x="159"/>
        <item x="102"/>
        <item x="218"/>
        <item x="33"/>
        <item x="259"/>
        <item x="80"/>
        <item x="150"/>
        <item x="160"/>
        <item x="210"/>
        <item x="202"/>
        <item x="104"/>
        <item x="184"/>
        <item x="39"/>
        <item x="188"/>
        <item x="64"/>
        <item x="247"/>
        <item x="195"/>
        <item x="190"/>
        <item x="258"/>
        <item x="237"/>
        <item x="57"/>
        <item x="113"/>
        <item x="204"/>
        <item x="67"/>
        <item x="205"/>
        <item x="214"/>
        <item x="109"/>
        <item x="34"/>
        <item x="275"/>
        <item x="60"/>
        <item x="2"/>
        <item x="162"/>
        <item x="271"/>
        <item x="42"/>
        <item x="236"/>
        <item x="134"/>
        <item x="10"/>
        <item x="248"/>
        <item x="26"/>
        <item x="31"/>
        <item x="85"/>
        <item x="149"/>
        <item x="122"/>
        <item x="174"/>
        <item x="25"/>
        <item x="83"/>
        <item x="0"/>
        <item x="201"/>
        <item x="14"/>
        <item x="194"/>
        <item x="69"/>
        <item x="119"/>
        <item x="183"/>
        <item x="73"/>
        <item x="98"/>
        <item x="46"/>
        <item x="36"/>
        <item x="191"/>
        <item x="70"/>
        <item x="61"/>
        <item x="92"/>
        <item x="23"/>
        <item x="132"/>
        <item x="4"/>
        <item x="269"/>
        <item x="231"/>
        <item x="75"/>
        <item x="111"/>
        <item x="18"/>
        <item x="257"/>
        <item x="21"/>
        <item x="1"/>
        <item x="48"/>
        <item x="128"/>
        <item x="170"/>
        <item x="38"/>
        <item x="263"/>
        <item x="76"/>
        <item x="241"/>
        <item x="81"/>
        <item x="143"/>
        <item x="148"/>
        <item x="189"/>
        <item x="155"/>
        <item x="136"/>
        <item x="112"/>
        <item x="187"/>
        <item x="199"/>
        <item x="158"/>
        <item x="51"/>
        <item x="178"/>
        <item x="130"/>
        <item x="17"/>
        <item x="108"/>
        <item x="240"/>
        <item x="216"/>
        <item t="default"/>
      </items>
      <autoSortScope>
        <pivotArea dataOnly="0" outline="0" fieldPosition="0">
          <references count="1">
            <reference field="4294967294" count="1" selected="0">
              <x v="0"/>
            </reference>
          </references>
        </pivotArea>
      </autoSortScope>
    </pivotField>
    <pivotField axis="axisRow" showAll="0">
      <items count="277">
        <item x="22"/>
        <item x="238"/>
        <item x="216"/>
        <item x="187"/>
        <item x="130"/>
        <item x="240"/>
        <item x="108"/>
        <item x="178"/>
        <item x="51"/>
        <item x="112"/>
        <item x="136"/>
        <item x="157"/>
        <item x="155"/>
        <item x="189"/>
        <item x="158"/>
        <item x="92"/>
        <item x="148"/>
        <item x="143"/>
        <item x="81"/>
        <item x="55"/>
        <item x="62"/>
        <item x="38"/>
        <item x="263"/>
        <item x="269"/>
        <item x="170"/>
        <item x="231"/>
        <item x="128"/>
        <item x="241"/>
        <item x="48"/>
        <item x="111"/>
        <item x="257"/>
        <item x="4"/>
        <item x="76"/>
        <item x="132"/>
        <item x="23"/>
        <item x="61"/>
        <item x="122"/>
        <item x="75"/>
        <item x="21"/>
        <item x="1"/>
        <item x="267"/>
        <item x="18"/>
        <item x="70"/>
        <item x="191"/>
        <item x="46"/>
        <item x="183"/>
        <item x="69"/>
        <item x="119"/>
        <item x="194"/>
        <item x="25"/>
        <item x="232"/>
        <item x="138"/>
        <item x="126"/>
        <item x="114"/>
        <item x="0"/>
        <item x="83"/>
        <item x="73"/>
        <item x="103"/>
        <item x="36"/>
        <item x="98"/>
        <item x="201"/>
        <item x="85"/>
        <item x="26"/>
        <item x="248"/>
        <item x="31"/>
        <item x="10"/>
        <item x="134"/>
        <item x="42"/>
        <item x="149"/>
        <item x="221"/>
        <item x="152"/>
        <item x="162"/>
        <item x="271"/>
        <item x="2"/>
        <item x="60"/>
        <item x="84"/>
        <item x="200"/>
        <item x="67"/>
        <item x="109"/>
        <item x="205"/>
        <item x="214"/>
        <item x="113"/>
        <item x="57"/>
        <item x="258"/>
        <item x="104"/>
        <item x="188"/>
        <item x="195"/>
        <item x="39"/>
        <item x="247"/>
        <item x="190"/>
        <item x="133"/>
        <item x="184"/>
        <item x="210"/>
        <item x="160"/>
        <item x="64"/>
        <item x="237"/>
        <item x="218"/>
        <item x="150"/>
        <item x="80"/>
        <item x="259"/>
        <item x="33"/>
        <item x="9"/>
        <item x="74"/>
        <item x="153"/>
        <item x="28"/>
        <item x="118"/>
        <item x="212"/>
        <item x="88"/>
        <item x="90"/>
        <item x="229"/>
        <item x="217"/>
        <item x="68"/>
        <item x="167"/>
        <item x="29"/>
        <item x="50"/>
        <item x="37"/>
        <item x="204"/>
        <item x="19"/>
        <item x="15"/>
        <item x="142"/>
        <item x="268"/>
        <item x="265"/>
        <item x="242"/>
        <item x="52"/>
        <item x="164"/>
        <item x="177"/>
        <item x="11"/>
        <item x="230"/>
        <item x="175"/>
        <item x="14"/>
        <item x="180"/>
        <item x="166"/>
        <item x="193"/>
        <item x="49"/>
        <item x="82"/>
        <item x="161"/>
        <item x="239"/>
        <item x="252"/>
        <item x="251"/>
        <item x="56"/>
        <item x="236"/>
        <item x="59"/>
        <item x="226"/>
        <item x="94"/>
        <item x="154"/>
        <item x="95"/>
        <item x="129"/>
        <item x="163"/>
        <item x="274"/>
        <item x="245"/>
        <item x="17"/>
        <item x="185"/>
        <item x="254"/>
        <item x="58"/>
        <item x="211"/>
        <item x="222"/>
        <item x="124"/>
        <item x="171"/>
        <item x="72"/>
        <item x="53"/>
        <item x="87"/>
        <item x="120"/>
        <item x="65"/>
        <item x="24"/>
        <item x="233"/>
        <item x="270"/>
        <item x="105"/>
        <item x="261"/>
        <item x="63"/>
        <item x="207"/>
        <item x="246"/>
        <item x="260"/>
        <item x="97"/>
        <item x="250"/>
        <item x="66"/>
        <item x="203"/>
        <item x="43"/>
        <item x="169"/>
        <item x="117"/>
        <item x="30"/>
        <item x="199"/>
        <item x="227"/>
        <item x="141"/>
        <item x="202"/>
        <item x="186"/>
        <item x="159"/>
        <item x="106"/>
        <item x="264"/>
        <item x="213"/>
        <item x="219"/>
        <item x="273"/>
        <item x="127"/>
        <item x="137"/>
        <item x="45"/>
        <item x="256"/>
        <item x="79"/>
        <item x="262"/>
        <item x="266"/>
        <item x="121"/>
        <item x="272"/>
        <item x="78"/>
        <item x="244"/>
        <item x="147"/>
        <item x="182"/>
        <item x="215"/>
        <item x="145"/>
        <item x="151"/>
        <item x="99"/>
        <item x="89"/>
        <item x="7"/>
        <item x="93"/>
        <item x="249"/>
        <item x="116"/>
        <item x="96"/>
        <item x="100"/>
        <item x="224"/>
        <item x="20"/>
        <item x="196"/>
        <item x="135"/>
        <item x="110"/>
        <item x="225"/>
        <item x="208"/>
        <item x="146"/>
        <item x="220"/>
        <item x="107"/>
        <item x="181"/>
        <item x="101"/>
        <item x="165"/>
        <item x="156"/>
        <item x="71"/>
        <item x="228"/>
        <item x="139"/>
        <item x="235"/>
        <item x="8"/>
        <item x="41"/>
        <item x="253"/>
        <item x="5"/>
        <item x="34"/>
        <item x="35"/>
        <item x="3"/>
        <item x="32"/>
        <item x="40"/>
        <item x="168"/>
        <item x="86"/>
        <item x="144"/>
        <item x="173"/>
        <item x="192"/>
        <item x="223"/>
        <item x="209"/>
        <item x="140"/>
        <item x="198"/>
        <item x="115"/>
        <item x="234"/>
        <item x="102"/>
        <item x="243"/>
        <item x="77"/>
        <item x="91"/>
        <item x="172"/>
        <item x="123"/>
        <item x="176"/>
        <item x="131"/>
        <item x="13"/>
        <item x="54"/>
        <item x="275"/>
        <item x="44"/>
        <item x="174"/>
        <item x="6"/>
        <item x="125"/>
        <item x="27"/>
        <item x="179"/>
        <item x="197"/>
        <item x="12"/>
        <item x="255"/>
        <item x="47"/>
        <item x="16"/>
        <item x="206"/>
        <item t="default"/>
      </items>
    </pivotField>
    <pivotField dataField="1" showAll="0"/>
    <pivotField showAll="0"/>
    <pivotField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Fields count="2">
    <field x="0"/>
    <field x="1"/>
  </rowFields>
  <rowItems count="21">
    <i>
      <x v="251"/>
    </i>
    <i r="1">
      <x v="39"/>
    </i>
    <i>
      <x v="210"/>
    </i>
    <i r="1">
      <x v="73"/>
    </i>
    <i>
      <x v="132"/>
    </i>
    <i r="1">
      <x v="144"/>
    </i>
    <i>
      <x v="131"/>
    </i>
    <i r="1">
      <x v="146"/>
    </i>
    <i>
      <x v="119"/>
    </i>
    <i r="1">
      <x v="148"/>
    </i>
    <i>
      <x v="107"/>
    </i>
    <i r="1">
      <x v="172"/>
    </i>
    <i>
      <x v="243"/>
    </i>
    <i r="1">
      <x v="31"/>
    </i>
    <i>
      <x v="143"/>
    </i>
    <i r="1">
      <x v="130"/>
    </i>
    <i>
      <x v="17"/>
    </i>
    <i r="1">
      <x v="252"/>
    </i>
    <i>
      <x v="136"/>
    </i>
    <i r="1">
      <x v="188"/>
    </i>
    <i t="grand">
      <x/>
    </i>
  </rowItems>
  <colItems count="1">
    <i/>
  </colItems>
  <dataFields count="1">
    <dataField name="Sum of Price (USD)" fld="2" baseField="0" baseItem="0"/>
  </dataField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4484AC-91ED-4057-8FE8-95FFF21FC1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S3:T280" firstHeaderRow="1" firstDataRow="1" firstDataCol="1"/>
  <pivotFields count="13">
    <pivotField axis="axisRow" showAll="0" sortType="descending">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Fields count="1">
    <field x="0"/>
  </rowFields>
  <rowItems count="277">
    <i>
      <x v="24"/>
    </i>
    <i>
      <x v="65"/>
    </i>
    <i>
      <x v="230"/>
    </i>
    <i>
      <x v="32"/>
    </i>
    <i>
      <x v="246"/>
    </i>
    <i>
      <x v="267"/>
    </i>
    <i>
      <x v="211"/>
    </i>
    <i>
      <x v="240"/>
    </i>
    <i>
      <x v="96"/>
    </i>
    <i>
      <x v="59"/>
    </i>
    <i>
      <x v="189"/>
    </i>
    <i>
      <x v="245"/>
    </i>
    <i>
      <x v="56"/>
    </i>
    <i>
      <x v="271"/>
    </i>
    <i>
      <x v="151"/>
    </i>
    <i>
      <x v="47"/>
    </i>
    <i>
      <x v="164"/>
    </i>
    <i>
      <x v="92"/>
    </i>
    <i>
      <x v="68"/>
    </i>
    <i>
      <x v="247"/>
    </i>
    <i>
      <x v="39"/>
    </i>
    <i>
      <x v="117"/>
    </i>
    <i>
      <x v="20"/>
    </i>
    <i>
      <x v="83"/>
    </i>
    <i>
      <x v="212"/>
    </i>
    <i>
      <x v="244"/>
    </i>
    <i>
      <x v="119"/>
    </i>
    <i>
      <x v="128"/>
    </i>
    <i>
      <x v="62"/>
    </i>
    <i>
      <x v="3"/>
    </i>
    <i>
      <x v="27"/>
    </i>
    <i>
      <x v="116"/>
    </i>
    <i>
      <x v="216"/>
    </i>
    <i>
      <x v="25"/>
    </i>
    <i>
      <x v="150"/>
    </i>
    <i>
      <x v="34"/>
    </i>
    <i>
      <x v="176"/>
    </i>
    <i>
      <x v="51"/>
    </i>
    <i>
      <x v="57"/>
    </i>
    <i>
      <x v="231"/>
    </i>
    <i>
      <x v="99"/>
    </i>
    <i>
      <x v="114"/>
    </i>
    <i>
      <x v="185"/>
    </i>
    <i>
      <x v="266"/>
    </i>
    <i>
      <x v="191"/>
    </i>
    <i>
      <x v="40"/>
    </i>
    <i>
      <x v="272"/>
    </i>
    <i>
      <x v="23"/>
    </i>
    <i>
      <x v="135"/>
    </i>
    <i>
      <x v="115"/>
    </i>
    <i>
      <x v="6"/>
    </i>
    <i>
      <x v="124"/>
    </i>
    <i>
      <x v="170"/>
    </i>
    <i>
      <x v="154"/>
    </i>
    <i>
      <x v="147"/>
    </i>
    <i>
      <x v="134"/>
    </i>
    <i>
      <x v="75"/>
    </i>
    <i>
      <x v="162"/>
    </i>
    <i>
      <x v="149"/>
    </i>
    <i>
      <x v="66"/>
    </i>
    <i>
      <x v="36"/>
    </i>
    <i>
      <x v="133"/>
    </i>
    <i>
      <x v="175"/>
    </i>
    <i>
      <x v="81"/>
    </i>
    <i>
      <x v="174"/>
    </i>
    <i>
      <x v="184"/>
    </i>
    <i>
      <x v="72"/>
    </i>
    <i>
      <x v="108"/>
    </i>
    <i>
      <x v="37"/>
    </i>
    <i>
      <x v="45"/>
    </i>
    <i>
      <x v="226"/>
    </i>
    <i>
      <x v="166"/>
    </i>
    <i>
      <x v="42"/>
    </i>
    <i>
      <x v="100"/>
    </i>
    <i>
      <x v="29"/>
    </i>
    <i>
      <x v="18"/>
    </i>
    <i>
      <x v="260"/>
    </i>
    <i>
      <x v="208"/>
    </i>
    <i>
      <x v="200"/>
    </i>
    <i>
      <x v="90"/>
    </i>
    <i>
      <x v="16"/>
    </i>
    <i>
      <x v="136"/>
    </i>
    <i>
      <x v="50"/>
    </i>
    <i>
      <x v="111"/>
    </i>
    <i>
      <x v="55"/>
    </i>
    <i>
      <x v="249"/>
    </i>
    <i>
      <x v="173"/>
    </i>
    <i>
      <x v="105"/>
    </i>
    <i>
      <x v="210"/>
    </i>
    <i>
      <x v="106"/>
    </i>
    <i>
      <x v="262"/>
    </i>
    <i>
      <x v="35"/>
    </i>
    <i>
      <x v="213"/>
    </i>
    <i>
      <x v="141"/>
    </i>
    <i>
      <x v="142"/>
    </i>
    <i>
      <x v="219"/>
    </i>
    <i>
      <x v="168"/>
    </i>
    <i>
      <x v="41"/>
    </i>
    <i>
      <x v="274"/>
    </i>
    <i>
      <x v="220"/>
    </i>
    <i>
      <x v="235"/>
    </i>
    <i>
      <x v="94"/>
    </i>
    <i>
      <x v="207"/>
    </i>
    <i>
      <x v="85"/>
    </i>
    <i>
      <x v="178"/>
    </i>
    <i>
      <x v="197"/>
    </i>
    <i>
      <x v="229"/>
    </i>
    <i>
      <x v="2"/>
    </i>
    <i>
      <x v="69"/>
    </i>
    <i>
      <x v="223"/>
    </i>
    <i>
      <x v="28"/>
    </i>
    <i>
      <x v="10"/>
    </i>
    <i>
      <x v="74"/>
    </i>
    <i>
      <x v="256"/>
    </i>
    <i>
      <x v="270"/>
    </i>
    <i>
      <x v="218"/>
    </i>
    <i>
      <x v="101"/>
    </i>
    <i>
      <x v="188"/>
    </i>
    <i>
      <x v="44"/>
    </i>
    <i>
      <x v="172"/>
    </i>
    <i>
      <x v="203"/>
    </i>
    <i>
      <x v="53"/>
    </i>
    <i>
      <x v="261"/>
    </i>
    <i>
      <x v="163"/>
    </i>
    <i>
      <x v="268"/>
    </i>
    <i>
      <x v="199"/>
    </i>
    <i>
      <x v="22"/>
    </i>
    <i>
      <x v="234"/>
    </i>
    <i>
      <x v="144"/>
    </i>
    <i>
      <x v="4"/>
    </i>
    <i>
      <x v="33"/>
    </i>
    <i>
      <x v="152"/>
    </i>
    <i>
      <x v="265"/>
    </i>
    <i>
      <x v="214"/>
    </i>
    <i>
      <x v="11"/>
    </i>
    <i>
      <x v="60"/>
    </i>
    <i>
      <x v="195"/>
    </i>
    <i>
      <x v="118"/>
    </i>
    <i>
      <x v="104"/>
    </i>
    <i>
      <x v="255"/>
    </i>
    <i>
      <x v="193"/>
    </i>
    <i>
      <x v="120"/>
    </i>
    <i>
      <x v="15"/>
    </i>
    <i>
      <x v="250"/>
    </i>
    <i>
      <x v="153"/>
    </i>
    <i>
      <x v="227"/>
    </i>
    <i>
      <x v="109"/>
    </i>
    <i>
      <x v="14"/>
    </i>
    <i>
      <x v="54"/>
    </i>
    <i>
      <x v="89"/>
    </i>
    <i>
      <x v="209"/>
    </i>
    <i>
      <x v="110"/>
    </i>
    <i>
      <x v="143"/>
    </i>
    <i>
      <x v="97"/>
    </i>
    <i>
      <x v="12"/>
    </i>
    <i>
      <x v="238"/>
    </i>
    <i>
      <x v="242"/>
    </i>
    <i>
      <x v="49"/>
    </i>
    <i>
      <x v="7"/>
    </i>
    <i>
      <x v="95"/>
    </i>
    <i>
      <x v="88"/>
    </i>
    <i>
      <x v="137"/>
    </i>
    <i>
      <x v="64"/>
    </i>
    <i>
      <x v="158"/>
    </i>
    <i>
      <x v="127"/>
    </i>
    <i>
      <x v="182"/>
    </i>
    <i>
      <x v="129"/>
    </i>
    <i>
      <x v="248"/>
    </i>
    <i>
      <x v="113"/>
    </i>
    <i>
      <x v="21"/>
    </i>
    <i>
      <x v="186"/>
    </i>
    <i>
      <x v="167"/>
    </i>
    <i>
      <x v="125"/>
    </i>
    <i>
      <x v="251"/>
    </i>
    <i>
      <x v="52"/>
    </i>
    <i>
      <x v="130"/>
    </i>
    <i>
      <x v="126"/>
    </i>
    <i>
      <x v="233"/>
    </i>
    <i>
      <x v="5"/>
    </i>
    <i>
      <x v="259"/>
    </i>
    <i>
      <x v="132"/>
    </i>
    <i>
      <x v="205"/>
    </i>
    <i>
      <x v="43"/>
    </i>
    <i>
      <x v="155"/>
    </i>
    <i>
      <x v="84"/>
    </i>
    <i>
      <x v="222"/>
    </i>
    <i>
      <x v="194"/>
    </i>
    <i>
      <x v="9"/>
    </i>
    <i>
      <x v="82"/>
    </i>
    <i>
      <x v="13"/>
    </i>
    <i>
      <x v="78"/>
    </i>
    <i>
      <x v="253"/>
    </i>
    <i>
      <x v="38"/>
    </i>
    <i>
      <x v="131"/>
    </i>
    <i>
      <x v="241"/>
    </i>
    <i>
      <x v="46"/>
    </i>
    <i>
      <x v="79"/>
    </i>
    <i>
      <x v="263"/>
    </i>
    <i>
      <x v="269"/>
    </i>
    <i>
      <x v="8"/>
    </i>
    <i>
      <x v="112"/>
    </i>
    <i>
      <x v="73"/>
    </i>
    <i>
      <x v="71"/>
    </i>
    <i>
      <x v="159"/>
    </i>
    <i>
      <x v="48"/>
    </i>
    <i>
      <x v="86"/>
    </i>
    <i>
      <x v="275"/>
    </i>
    <i>
      <x v="217"/>
    </i>
    <i>
      <x v="225"/>
    </i>
    <i>
      <x v="87"/>
    </i>
    <i>
      <x v="254"/>
    </i>
    <i>
      <x v="103"/>
    </i>
    <i>
      <x v="139"/>
    </i>
    <i>
      <x v="160"/>
    </i>
    <i>
      <x/>
    </i>
    <i>
      <x v="70"/>
    </i>
    <i>
      <x v="206"/>
    </i>
    <i>
      <x v="93"/>
    </i>
    <i>
      <x v="107"/>
    </i>
    <i>
      <x v="146"/>
    </i>
    <i>
      <x v="237"/>
    </i>
    <i>
      <x v="264"/>
    </i>
    <i>
      <x v="165"/>
    </i>
    <i>
      <x v="221"/>
    </i>
    <i>
      <x v="145"/>
    </i>
    <i>
      <x v="252"/>
    </i>
    <i>
      <x v="224"/>
    </i>
    <i>
      <x v="239"/>
    </i>
    <i>
      <x v="190"/>
    </i>
    <i>
      <x v="102"/>
    </i>
    <i>
      <x v="30"/>
    </i>
    <i>
      <x v="169"/>
    </i>
    <i>
      <x v="98"/>
    </i>
    <i>
      <x v="232"/>
    </i>
    <i>
      <x v="196"/>
    </i>
    <i>
      <x v="258"/>
    </i>
    <i>
      <x v="61"/>
    </i>
    <i>
      <x v="76"/>
    </i>
    <i>
      <x v="140"/>
    </i>
    <i>
      <x v="1"/>
    </i>
    <i>
      <x v="228"/>
    </i>
    <i>
      <x v="257"/>
    </i>
    <i>
      <x v="17"/>
    </i>
    <i>
      <x v="123"/>
    </i>
    <i>
      <x v="204"/>
    </i>
    <i>
      <x v="180"/>
    </i>
    <i>
      <x v="157"/>
    </i>
    <i>
      <x v="80"/>
    </i>
    <i>
      <x v="58"/>
    </i>
    <i>
      <x v="236"/>
    </i>
    <i>
      <x v="243"/>
    </i>
    <i>
      <x v="138"/>
    </i>
    <i>
      <x v="183"/>
    </i>
    <i>
      <x v="148"/>
    </i>
    <i>
      <x v="273"/>
    </i>
    <i>
      <x v="161"/>
    </i>
    <i>
      <x v="26"/>
    </i>
    <i>
      <x v="91"/>
    </i>
    <i>
      <x v="77"/>
    </i>
    <i>
      <x v="187"/>
    </i>
    <i>
      <x v="181"/>
    </i>
    <i>
      <x v="201"/>
    </i>
    <i>
      <x v="19"/>
    </i>
    <i>
      <x v="179"/>
    </i>
    <i>
      <x v="198"/>
    </i>
    <i>
      <x v="122"/>
    </i>
    <i>
      <x v="202"/>
    </i>
    <i>
      <x v="171"/>
    </i>
    <i>
      <x v="121"/>
    </i>
    <i>
      <x v="31"/>
    </i>
    <i>
      <x v="177"/>
    </i>
    <i>
      <x v="215"/>
    </i>
    <i>
      <x v="192"/>
    </i>
    <i>
      <x v="63"/>
    </i>
    <i>
      <x v="156"/>
    </i>
    <i>
      <x v="67"/>
    </i>
    <i t="grand">
      <x/>
    </i>
  </rowItems>
  <colItems count="1">
    <i/>
  </colItems>
  <dataFields count="1">
    <dataField name="Sum of Market Cap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D5F8A7-2F26-43BB-B54F-C54AB78C0E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W3:W4" firstHeaderRow="1" firstDataRow="1" firstDataCol="0"/>
  <pivotFields count="13">
    <pivotField showAll="0" sortType="descending">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Items count="1">
    <i/>
  </rowItems>
  <colItems count="1">
    <i/>
  </colItems>
  <dataFields count="1">
    <dataField name="Sum of Market Cap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1C678-C81B-4500-8A87-B5B5ADD69B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in Name">
  <location ref="A17:B28" firstHeaderRow="1" firstDataRow="1" firstDataCol="1"/>
  <pivotFields count="13">
    <pivotField axis="axisRow" showAll="0" measureFilter="1">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Fields count="1">
    <field x="0"/>
  </rowFields>
  <rowItems count="11">
    <i>
      <x v="40"/>
    </i>
    <i>
      <x v="63"/>
    </i>
    <i>
      <x v="73"/>
    </i>
    <i>
      <x v="84"/>
    </i>
    <i>
      <x v="93"/>
    </i>
    <i>
      <x v="121"/>
    </i>
    <i>
      <x v="134"/>
    </i>
    <i>
      <x v="197"/>
    </i>
    <i>
      <x v="273"/>
    </i>
    <i>
      <x v="275"/>
    </i>
    <i t="grand">
      <x/>
    </i>
  </rowItems>
  <colItems count="1">
    <i/>
  </colItems>
  <dataFields count="1">
    <dataField name="Sum of 1h Change (%)" fld="3"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0F76F2-5FC2-489F-AF59-4CD48051C7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oin Name">
  <location ref="A3:B14" firstHeaderRow="1" firstDataRow="1" firstDataCol="1"/>
  <pivotFields count="13">
    <pivotField axis="axisRow" showAll="0" measureFilter="1" sortType="descending">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Fields count="1">
    <field x="0"/>
  </rowFields>
  <rowItems count="11">
    <i>
      <x v="24"/>
    </i>
    <i>
      <x v="65"/>
    </i>
    <i>
      <x v="143"/>
    </i>
    <i>
      <x v="144"/>
    </i>
    <i>
      <x v="156"/>
    </i>
    <i>
      <x v="168"/>
    </i>
    <i>
      <x v="32"/>
    </i>
    <i>
      <x v="132"/>
    </i>
    <i>
      <x v="258"/>
    </i>
    <i>
      <x v="139"/>
    </i>
    <i t="grand">
      <x/>
    </i>
  </rowItems>
  <colItems count="1">
    <i/>
  </colItems>
  <dataFields count="1">
    <dataField name=" Price (USD)"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31FC91-5960-42C7-8C01-A4366290A9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W9:W10" firstHeaderRow="1" firstDataRow="1" firstDataCol="0"/>
  <pivotFields count="13">
    <pivotField showAll="0">
      <items count="277">
        <item x="216"/>
        <item x="240"/>
        <item x="108"/>
        <item x="17"/>
        <item x="130"/>
        <item x="178"/>
        <item x="51"/>
        <item x="158"/>
        <item x="199"/>
        <item x="187"/>
        <item x="112"/>
        <item x="136"/>
        <item x="155"/>
        <item x="189"/>
        <item x="148"/>
        <item x="143"/>
        <item x="81"/>
        <item x="241"/>
        <item x="76"/>
        <item x="263"/>
        <item x="38"/>
        <item x="170"/>
        <item x="128"/>
        <item x="48"/>
        <item x="1"/>
        <item x="21"/>
        <item x="257"/>
        <item x="18"/>
        <item x="111"/>
        <item x="75"/>
        <item x="231"/>
        <item x="269"/>
        <item x="4"/>
        <item x="132"/>
        <item x="23"/>
        <item x="92"/>
        <item x="61"/>
        <item x="70"/>
        <item x="191"/>
        <item x="36"/>
        <item x="46"/>
        <item x="98"/>
        <item x="73"/>
        <item x="183"/>
        <item x="119"/>
        <item x="69"/>
        <item x="194"/>
        <item x="14"/>
        <item x="201"/>
        <item x="0"/>
        <item x="83"/>
        <item x="25"/>
        <item x="174"/>
        <item x="122"/>
        <item x="149"/>
        <item x="85"/>
        <item x="31"/>
        <item x="26"/>
        <item x="248"/>
        <item x="10"/>
        <item x="134"/>
        <item x="236"/>
        <item x="42"/>
        <item x="271"/>
        <item x="162"/>
        <item x="2"/>
        <item x="60"/>
        <item x="275"/>
        <item x="34"/>
        <item x="109"/>
        <item x="214"/>
        <item x="205"/>
        <item x="67"/>
        <item x="204"/>
        <item x="113"/>
        <item x="57"/>
        <item x="237"/>
        <item x="258"/>
        <item x="190"/>
        <item x="195"/>
        <item x="247"/>
        <item x="64"/>
        <item x="188"/>
        <item x="39"/>
        <item x="184"/>
        <item x="104"/>
        <item x="202"/>
        <item x="210"/>
        <item x="160"/>
        <item x="150"/>
        <item x="80"/>
        <item x="259"/>
        <item x="33"/>
        <item x="218"/>
        <item x="102"/>
        <item x="159"/>
        <item x="9"/>
        <item x="153"/>
        <item x="230"/>
        <item x="28"/>
        <item x="74"/>
        <item x="118"/>
        <item x="229"/>
        <item x="212"/>
        <item x="139"/>
        <item x="88"/>
        <item x="90"/>
        <item x="217"/>
        <item x="68"/>
        <item x="147"/>
        <item x="152"/>
        <item x="84"/>
        <item x="200"/>
        <item x="167"/>
        <item x="29"/>
        <item x="50"/>
        <item x="19"/>
        <item x="37"/>
        <item x="138"/>
        <item x="15"/>
        <item x="142"/>
        <item x="268"/>
        <item x="265"/>
        <item x="242"/>
        <item x="52"/>
        <item x="172"/>
        <item x="177"/>
        <item x="164"/>
        <item x="16"/>
        <item x="166"/>
        <item x="175"/>
        <item x="193"/>
        <item x="180"/>
        <item x="62"/>
        <item x="55"/>
        <item x="49"/>
        <item x="82"/>
        <item x="161"/>
        <item x="252"/>
        <item x="213"/>
        <item x="239"/>
        <item x="94"/>
        <item x="95"/>
        <item x="154"/>
        <item x="129"/>
        <item x="226"/>
        <item x="219"/>
        <item x="56"/>
        <item x="251"/>
        <item x="59"/>
        <item x="22"/>
        <item x="13"/>
        <item x="133"/>
        <item x="145"/>
        <item x="54"/>
        <item x="176"/>
        <item x="274"/>
        <item x="245"/>
        <item x="163"/>
        <item x="203"/>
        <item x="211"/>
        <item x="254"/>
        <item x="58"/>
        <item x="124"/>
        <item x="32"/>
        <item x="222"/>
        <item x="72"/>
        <item x="171"/>
        <item x="97"/>
        <item x="232"/>
        <item x="53"/>
        <item x="267"/>
        <item x="120"/>
        <item x="87"/>
        <item x="65"/>
        <item x="63"/>
        <item x="24"/>
        <item x="270"/>
        <item x="105"/>
        <item x="261"/>
        <item x="246"/>
        <item x="260"/>
        <item x="165"/>
        <item x="250"/>
        <item x="66"/>
        <item x="43"/>
        <item x="169"/>
        <item x="256"/>
        <item x="117"/>
        <item x="30"/>
        <item x="227"/>
        <item x="45"/>
        <item x="273"/>
        <item x="141"/>
        <item x="186"/>
        <item x="137"/>
        <item x="233"/>
        <item x="106"/>
        <item x="264"/>
        <item x="127"/>
        <item x="79"/>
        <item x="262"/>
        <item x="266"/>
        <item x="121"/>
        <item x="244"/>
        <item x="182"/>
        <item x="215"/>
        <item x="103"/>
        <item x="78"/>
        <item x="151"/>
        <item x="89"/>
        <item x="7"/>
        <item x="40"/>
        <item x="93"/>
        <item x="135"/>
        <item x="272"/>
        <item x="20"/>
        <item x="207"/>
        <item x="116"/>
        <item x="96"/>
        <item x="100"/>
        <item x="224"/>
        <item x="185"/>
        <item x="110"/>
        <item x="225"/>
        <item x="208"/>
        <item x="71"/>
        <item x="146"/>
        <item x="238"/>
        <item x="107"/>
        <item x="3"/>
        <item x="27"/>
        <item x="235"/>
        <item x="181"/>
        <item x="126"/>
        <item x="101"/>
        <item x="249"/>
        <item x="220"/>
        <item x="156"/>
        <item x="228"/>
        <item x="8"/>
        <item x="196"/>
        <item x="157"/>
        <item x="253"/>
        <item x="41"/>
        <item x="11"/>
        <item x="5"/>
        <item x="35"/>
        <item x="168"/>
        <item x="86"/>
        <item x="144"/>
        <item x="173"/>
        <item x="223"/>
        <item x="192"/>
        <item x="209"/>
        <item x="140"/>
        <item x="115"/>
        <item x="243"/>
        <item x="234"/>
        <item x="179"/>
        <item x="77"/>
        <item x="123"/>
        <item x="91"/>
        <item x="198"/>
        <item x="221"/>
        <item x="131"/>
        <item x="44"/>
        <item x="6"/>
        <item x="125"/>
        <item x="197"/>
        <item x="114"/>
        <item x="12"/>
        <item x="47"/>
        <item x="255"/>
        <item x="99"/>
        <item x="20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items count="8">
        <item x="2"/>
        <item x="5"/>
        <item x="1"/>
        <item x="0"/>
        <item x="4"/>
        <item x="3"/>
        <item x="6"/>
        <item t="default"/>
      </items>
    </pivotField>
  </pivotFields>
  <rowItems count="1">
    <i/>
  </rowItems>
  <colItems count="1">
    <i/>
  </colItems>
  <dataFields count="1">
    <dataField name="Sum of Curculating Supply $"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0F286C-F308-499D-B8BE-FF99C8B4FC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O35:P56" firstHeaderRow="1" firstDataRow="1" firstDataCol="1"/>
  <pivotFields count="13">
    <pivotField axis="axisRow" showAll="0" measureFilter="1" sortType="descending">
      <items count="277">
        <item x="206"/>
        <item x="99"/>
        <item x="255"/>
        <item x="47"/>
        <item x="12"/>
        <item x="114"/>
        <item x="197"/>
        <item x="125"/>
        <item x="6"/>
        <item x="44"/>
        <item x="131"/>
        <item x="221"/>
        <item x="198"/>
        <item x="91"/>
        <item x="123"/>
        <item x="77"/>
        <item x="179"/>
        <item x="234"/>
        <item x="243"/>
        <item x="115"/>
        <item x="140"/>
        <item x="209"/>
        <item x="192"/>
        <item x="223"/>
        <item x="173"/>
        <item x="144"/>
        <item x="86"/>
        <item x="168"/>
        <item x="35"/>
        <item x="5"/>
        <item x="11"/>
        <item x="41"/>
        <item x="253"/>
        <item x="157"/>
        <item x="196"/>
        <item x="8"/>
        <item x="228"/>
        <item x="156"/>
        <item x="220"/>
        <item x="249"/>
        <item x="101"/>
        <item x="126"/>
        <item x="181"/>
        <item x="235"/>
        <item x="27"/>
        <item x="3"/>
        <item x="107"/>
        <item x="238"/>
        <item x="146"/>
        <item x="71"/>
        <item x="208"/>
        <item x="225"/>
        <item x="110"/>
        <item x="185"/>
        <item x="224"/>
        <item x="100"/>
        <item x="96"/>
        <item x="116"/>
        <item x="207"/>
        <item x="20"/>
        <item x="272"/>
        <item x="135"/>
        <item x="93"/>
        <item x="40"/>
        <item x="7"/>
        <item x="89"/>
        <item x="151"/>
        <item x="78"/>
        <item x="103"/>
        <item x="215"/>
        <item x="182"/>
        <item x="244"/>
        <item x="121"/>
        <item x="266"/>
        <item x="262"/>
        <item x="79"/>
        <item x="127"/>
        <item x="264"/>
        <item x="106"/>
        <item x="233"/>
        <item x="137"/>
        <item x="186"/>
        <item x="141"/>
        <item x="273"/>
        <item x="45"/>
        <item x="227"/>
        <item x="30"/>
        <item x="117"/>
        <item x="256"/>
        <item x="169"/>
        <item x="43"/>
        <item x="66"/>
        <item x="250"/>
        <item x="165"/>
        <item x="260"/>
        <item x="246"/>
        <item x="261"/>
        <item x="105"/>
        <item x="270"/>
        <item x="24"/>
        <item x="63"/>
        <item x="65"/>
        <item x="87"/>
        <item x="120"/>
        <item x="267"/>
        <item x="53"/>
        <item x="232"/>
        <item x="97"/>
        <item x="171"/>
        <item x="72"/>
        <item x="222"/>
        <item x="32"/>
        <item x="124"/>
        <item x="58"/>
        <item x="254"/>
        <item x="211"/>
        <item x="203"/>
        <item x="163"/>
        <item x="245"/>
        <item x="274"/>
        <item x="176"/>
        <item x="54"/>
        <item x="145"/>
        <item x="133"/>
        <item x="13"/>
        <item x="22"/>
        <item x="59"/>
        <item x="251"/>
        <item x="56"/>
        <item x="219"/>
        <item x="226"/>
        <item x="129"/>
        <item x="154"/>
        <item x="95"/>
        <item x="94"/>
        <item x="239"/>
        <item x="213"/>
        <item x="252"/>
        <item x="161"/>
        <item x="82"/>
        <item x="49"/>
        <item x="55"/>
        <item x="62"/>
        <item x="180"/>
        <item x="193"/>
        <item x="175"/>
        <item x="166"/>
        <item x="16"/>
        <item x="164"/>
        <item x="177"/>
        <item x="172"/>
        <item x="52"/>
        <item x="242"/>
        <item x="265"/>
        <item x="268"/>
        <item x="142"/>
        <item x="15"/>
        <item x="138"/>
        <item x="37"/>
        <item x="19"/>
        <item x="50"/>
        <item x="29"/>
        <item x="167"/>
        <item x="200"/>
        <item x="84"/>
        <item x="152"/>
        <item x="147"/>
        <item x="68"/>
        <item x="217"/>
        <item x="90"/>
        <item x="88"/>
        <item x="139"/>
        <item x="212"/>
        <item x="229"/>
        <item x="118"/>
        <item x="74"/>
        <item x="28"/>
        <item x="230"/>
        <item x="153"/>
        <item x="9"/>
        <item x="159"/>
        <item x="102"/>
        <item x="218"/>
        <item x="33"/>
        <item x="259"/>
        <item x="80"/>
        <item x="150"/>
        <item x="160"/>
        <item x="210"/>
        <item x="202"/>
        <item x="104"/>
        <item x="184"/>
        <item x="39"/>
        <item x="188"/>
        <item x="64"/>
        <item x="247"/>
        <item x="195"/>
        <item x="190"/>
        <item x="258"/>
        <item x="237"/>
        <item x="57"/>
        <item x="113"/>
        <item x="204"/>
        <item x="67"/>
        <item x="205"/>
        <item x="214"/>
        <item x="109"/>
        <item x="34"/>
        <item x="275"/>
        <item x="60"/>
        <item x="2"/>
        <item x="162"/>
        <item x="271"/>
        <item x="42"/>
        <item x="236"/>
        <item x="134"/>
        <item x="10"/>
        <item x="248"/>
        <item x="26"/>
        <item x="31"/>
        <item x="85"/>
        <item x="149"/>
        <item x="122"/>
        <item x="174"/>
        <item x="25"/>
        <item x="83"/>
        <item x="0"/>
        <item x="201"/>
        <item x="14"/>
        <item x="194"/>
        <item x="69"/>
        <item x="119"/>
        <item x="183"/>
        <item x="73"/>
        <item x="98"/>
        <item x="46"/>
        <item x="36"/>
        <item x="191"/>
        <item x="70"/>
        <item x="61"/>
        <item x="92"/>
        <item x="23"/>
        <item x="132"/>
        <item x="4"/>
        <item x="269"/>
        <item x="231"/>
        <item x="75"/>
        <item x="111"/>
        <item x="18"/>
        <item x="257"/>
        <item x="21"/>
        <item x="1"/>
        <item x="48"/>
        <item x="128"/>
        <item x="170"/>
        <item x="38"/>
        <item x="263"/>
        <item x="76"/>
        <item x="241"/>
        <item x="81"/>
        <item x="143"/>
        <item x="148"/>
        <item x="189"/>
        <item x="155"/>
        <item x="136"/>
        <item x="112"/>
        <item x="187"/>
        <item x="199"/>
        <item x="158"/>
        <item x="51"/>
        <item x="178"/>
        <item x="130"/>
        <item x="17"/>
        <item x="108"/>
        <item x="240"/>
        <item x="216"/>
        <item t="default"/>
      </items>
      <autoSortScope>
        <pivotArea dataOnly="0" outline="0" fieldPosition="0">
          <references count="1">
            <reference field="4294967294" count="1" selected="0">
              <x v="0"/>
            </reference>
          </references>
        </pivotArea>
      </autoSortScope>
    </pivotField>
    <pivotField axis="axisRow" showAll="0">
      <items count="277">
        <item x="22"/>
        <item x="238"/>
        <item x="216"/>
        <item x="187"/>
        <item x="130"/>
        <item x="240"/>
        <item x="108"/>
        <item x="178"/>
        <item x="51"/>
        <item x="112"/>
        <item x="136"/>
        <item x="157"/>
        <item x="155"/>
        <item x="189"/>
        <item x="158"/>
        <item x="92"/>
        <item x="148"/>
        <item x="143"/>
        <item x="81"/>
        <item x="55"/>
        <item x="62"/>
        <item x="38"/>
        <item x="263"/>
        <item x="269"/>
        <item x="170"/>
        <item x="231"/>
        <item x="128"/>
        <item x="241"/>
        <item x="48"/>
        <item x="111"/>
        <item x="257"/>
        <item x="4"/>
        <item x="76"/>
        <item x="132"/>
        <item x="23"/>
        <item x="61"/>
        <item x="122"/>
        <item x="75"/>
        <item x="21"/>
        <item x="1"/>
        <item x="267"/>
        <item x="18"/>
        <item x="70"/>
        <item x="191"/>
        <item x="46"/>
        <item x="183"/>
        <item x="69"/>
        <item x="119"/>
        <item x="194"/>
        <item x="25"/>
        <item x="232"/>
        <item x="138"/>
        <item x="126"/>
        <item x="114"/>
        <item x="0"/>
        <item x="83"/>
        <item x="73"/>
        <item x="103"/>
        <item x="36"/>
        <item x="98"/>
        <item x="201"/>
        <item x="85"/>
        <item x="26"/>
        <item x="248"/>
        <item x="31"/>
        <item x="10"/>
        <item x="134"/>
        <item x="42"/>
        <item x="149"/>
        <item x="221"/>
        <item x="152"/>
        <item x="162"/>
        <item x="271"/>
        <item x="2"/>
        <item x="60"/>
        <item x="84"/>
        <item x="200"/>
        <item x="67"/>
        <item x="109"/>
        <item x="205"/>
        <item x="214"/>
        <item x="113"/>
        <item x="57"/>
        <item x="258"/>
        <item x="104"/>
        <item x="188"/>
        <item x="195"/>
        <item x="39"/>
        <item x="247"/>
        <item x="190"/>
        <item x="133"/>
        <item x="184"/>
        <item x="210"/>
        <item x="160"/>
        <item x="64"/>
        <item x="237"/>
        <item x="218"/>
        <item x="150"/>
        <item x="80"/>
        <item x="259"/>
        <item x="33"/>
        <item x="9"/>
        <item x="74"/>
        <item x="153"/>
        <item x="28"/>
        <item x="118"/>
        <item x="212"/>
        <item x="88"/>
        <item x="90"/>
        <item x="229"/>
        <item x="217"/>
        <item x="68"/>
        <item x="167"/>
        <item x="29"/>
        <item x="50"/>
        <item x="37"/>
        <item x="204"/>
        <item x="19"/>
        <item x="15"/>
        <item x="142"/>
        <item x="268"/>
        <item x="265"/>
        <item x="242"/>
        <item x="52"/>
        <item x="164"/>
        <item x="177"/>
        <item x="11"/>
        <item x="230"/>
        <item x="175"/>
        <item x="14"/>
        <item x="180"/>
        <item x="166"/>
        <item x="193"/>
        <item x="49"/>
        <item x="82"/>
        <item x="161"/>
        <item x="239"/>
        <item x="252"/>
        <item x="251"/>
        <item x="56"/>
        <item x="236"/>
        <item x="59"/>
        <item x="226"/>
        <item x="94"/>
        <item x="154"/>
        <item x="95"/>
        <item x="129"/>
        <item x="163"/>
        <item x="274"/>
        <item x="245"/>
        <item x="17"/>
        <item x="185"/>
        <item x="254"/>
        <item x="58"/>
        <item x="211"/>
        <item x="222"/>
        <item x="124"/>
        <item x="171"/>
        <item x="72"/>
        <item x="53"/>
        <item x="87"/>
        <item x="120"/>
        <item x="65"/>
        <item x="24"/>
        <item x="233"/>
        <item x="270"/>
        <item x="105"/>
        <item x="261"/>
        <item x="63"/>
        <item x="207"/>
        <item x="246"/>
        <item x="260"/>
        <item x="97"/>
        <item x="250"/>
        <item x="66"/>
        <item x="203"/>
        <item x="43"/>
        <item x="169"/>
        <item x="117"/>
        <item x="30"/>
        <item x="199"/>
        <item x="227"/>
        <item x="141"/>
        <item x="202"/>
        <item x="186"/>
        <item x="159"/>
        <item x="106"/>
        <item x="264"/>
        <item x="213"/>
        <item x="219"/>
        <item x="273"/>
        <item x="127"/>
        <item x="137"/>
        <item x="45"/>
        <item x="256"/>
        <item x="79"/>
        <item x="262"/>
        <item x="266"/>
        <item x="121"/>
        <item x="272"/>
        <item x="78"/>
        <item x="244"/>
        <item x="147"/>
        <item x="182"/>
        <item x="215"/>
        <item x="145"/>
        <item x="151"/>
        <item x="99"/>
        <item x="89"/>
        <item x="7"/>
        <item x="93"/>
        <item x="249"/>
        <item x="116"/>
        <item x="96"/>
        <item x="100"/>
        <item x="224"/>
        <item x="20"/>
        <item x="196"/>
        <item x="135"/>
        <item x="110"/>
        <item x="225"/>
        <item x="208"/>
        <item x="146"/>
        <item x="220"/>
        <item x="107"/>
        <item x="181"/>
        <item x="101"/>
        <item x="165"/>
        <item x="156"/>
        <item x="71"/>
        <item x="228"/>
        <item x="139"/>
        <item x="235"/>
        <item x="8"/>
        <item x="41"/>
        <item x="253"/>
        <item x="5"/>
        <item x="34"/>
        <item x="35"/>
        <item x="3"/>
        <item x="32"/>
        <item x="40"/>
        <item x="168"/>
        <item x="86"/>
        <item x="144"/>
        <item x="173"/>
        <item x="192"/>
        <item x="223"/>
        <item x="209"/>
        <item x="140"/>
        <item x="198"/>
        <item x="115"/>
        <item x="234"/>
        <item x="102"/>
        <item x="243"/>
        <item x="77"/>
        <item x="91"/>
        <item x="172"/>
        <item x="123"/>
        <item x="176"/>
        <item x="131"/>
        <item x="13"/>
        <item x="54"/>
        <item x="275"/>
        <item x="44"/>
        <item x="174"/>
        <item x="6"/>
        <item x="125"/>
        <item x="27"/>
        <item x="179"/>
        <item x="197"/>
        <item x="12"/>
        <item x="255"/>
        <item x="47"/>
        <item x="16"/>
        <item x="206"/>
        <item t="default"/>
      </items>
    </pivotField>
    <pivotField dataField="1" showAll="0"/>
    <pivotField showAll="0"/>
    <pivotField showAll="0"/>
    <pivotField showAll="0"/>
    <pivotField showAll="0"/>
    <pivotField showAll="0"/>
    <pivotField showAll="0"/>
    <pivotField showAll="0"/>
    <pivotField showAll="0"/>
    <pivotField showAll="0"/>
    <pivotField showAll="0">
      <items count="8">
        <item x="2"/>
        <item x="5"/>
        <item x="1"/>
        <item x="0"/>
        <item x="4"/>
        <item x="3"/>
        <item x="6"/>
        <item t="default"/>
      </items>
    </pivotField>
  </pivotFields>
  <rowFields count="2">
    <field x="0"/>
    <field x="1"/>
  </rowFields>
  <rowItems count="21">
    <i>
      <x v="251"/>
    </i>
    <i r="1">
      <x v="39"/>
    </i>
    <i>
      <x v="210"/>
    </i>
    <i r="1">
      <x v="73"/>
    </i>
    <i>
      <x v="132"/>
    </i>
    <i r="1">
      <x v="144"/>
    </i>
    <i>
      <x v="131"/>
    </i>
    <i r="1">
      <x v="146"/>
    </i>
    <i>
      <x v="119"/>
    </i>
    <i r="1">
      <x v="148"/>
    </i>
    <i>
      <x v="107"/>
    </i>
    <i r="1">
      <x v="172"/>
    </i>
    <i>
      <x v="243"/>
    </i>
    <i r="1">
      <x v="31"/>
    </i>
    <i>
      <x v="143"/>
    </i>
    <i r="1">
      <x v="130"/>
    </i>
    <i>
      <x v="17"/>
    </i>
    <i r="1">
      <x v="252"/>
    </i>
    <i>
      <x v="136"/>
    </i>
    <i r="1">
      <x v="188"/>
    </i>
    <i t="grand">
      <x/>
    </i>
  </rowItems>
  <colItems count="1">
    <i/>
  </colItems>
  <dataFields count="1">
    <dataField name="Sum of Price (USD)" fld="2" baseField="0" baseItem="0"/>
  </dataFields>
  <conditionalFormats count="1">
    <conditionalFormat priority="2">
      <pivotAreas count="1">
        <pivotArea type="data" collapsedLevelsAreSubtotals="1" fieldPosition="0">
          <references count="2">
            <reference field="4294967294" count="1" selected="0">
              <x v="0"/>
            </reference>
            <reference field="0" count="1">
              <x v="251"/>
            </reference>
          </references>
        </pivotArea>
      </pivotAreas>
    </conditionalFormat>
  </conditional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CA10EE-380B-49B0-BC38-CEC637BCA88A}" autoFormatId="16" applyNumberFormats="0" applyBorderFormats="0" applyFontFormats="0" applyPatternFormats="0" applyAlignmentFormats="0" applyWidthHeightFormats="0">
  <queryTableRefresh nextId="14" unboundColumnsRight="3">
    <queryTableFields count="13">
      <queryTableField id="1" name="Coin Name" tableColumnId="1"/>
      <queryTableField id="2" name="Symbol" tableColumnId="2"/>
      <queryTableField id="3" name="Price (USD)" tableColumnId="3"/>
      <queryTableField id="4" name="1h Change (%)" tableColumnId="4"/>
      <queryTableField id="5" name="Market Cap $" tableColumnId="5"/>
      <queryTableField id="6" name="Market Cap" tableColumnId="6"/>
      <queryTableField id="7" name="Volume (24h) USD $" tableColumnId="7"/>
      <queryTableField id="8" name="Volume (24h) USD" tableColumnId="8"/>
      <queryTableField id="9" name="Curculating Supply $" tableColumnId="9"/>
      <queryTableField id="10" name="Circulating Supply"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FDDA9089-3914-4A4C-97A0-A7BF03D726B1}" sourceName="Price Rang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5" name="PivotTable1"/>
  </pivotTables>
  <data>
    <tabular pivotCacheId="2090253627">
      <items count="7">
        <i x="2" s="1"/>
        <i x="5" s="1"/>
        <i x="1" s="1"/>
        <i x="0" s="1"/>
        <i x="4"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314F36B0-7FD9-4631-869B-0C486EA39CD7}" cache="Slicer_Price_Range" caption="Price Rang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1" xr10:uid="{F11F9D68-5DF4-442F-8F07-4C9EE7E71FC6}" cache="Slicer_Price_Range" caption="Price Range" style="SlicerStyleLight5"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2A0C6B-88F5-45B6-A423-65B65F22AEE4}" name="Table2" displayName="Table2" ref="A1:G301" totalsRowShown="0">
  <autoFilter ref="A1:G301" xr:uid="{AD2A0C6B-88F5-45B6-A423-65B65F22AEE4}"/>
  <tableColumns count="7">
    <tableColumn id="1" xr3:uid="{9533A307-CCCA-485F-BAAB-04AB48E8C533}" name="Coin Name"/>
    <tableColumn id="2" xr3:uid="{A0551C8A-1AD7-4A83-AD5F-27EFC1300FB0}" name="Symbol"/>
    <tableColumn id="3" xr3:uid="{CA0E1D8B-8A22-44C6-87A6-ECBF0312C75C}" name="Price (USD)"/>
    <tableColumn id="4" xr3:uid="{C6F5A992-A8E6-43AE-9933-6FF9E84C308E}" name="1h Change (%)"/>
    <tableColumn id="5" xr3:uid="{B3A27711-A53E-4CFF-9D14-B9C00ED0C0C6}" name="Market Cap"/>
    <tableColumn id="6" xr3:uid="{45766F61-F3A8-4468-A035-B296C42F1E16}" name="Volume (24h) USD"/>
    <tableColumn id="7" xr3:uid="{70F2F01D-1ED2-4E0D-AF36-7CC89885DAC8}" name="Circulating Suppl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229F5-EA34-4B5A-A469-C78268A4EB9E}" name="Cleaned_data" displayName="Cleaned_data" ref="A1:M277" tableType="queryTable" totalsRowShown="0">
  <autoFilter ref="A1:M277" xr:uid="{6D6229F5-EA34-4B5A-A469-C78268A4EB9E}"/>
  <tableColumns count="13">
    <tableColumn id="1" xr3:uid="{899B3BAD-128E-4C3F-8EC2-A86230379362}" uniqueName="1" name="Coin Name" queryTableFieldId="1" dataDxfId="7"/>
    <tableColumn id="2" xr3:uid="{CE0A6192-9E04-4E62-8F9E-6E4AF7D9A8B9}" uniqueName="2" name="Symbol" queryTableFieldId="2" dataDxfId="6"/>
    <tableColumn id="3" xr3:uid="{94F2B77D-C11C-444B-8D92-FFF3DBE8AB55}" uniqueName="3" name="Price (USD)" queryTableFieldId="3"/>
    <tableColumn id="4" xr3:uid="{F3EFBD55-1AD9-4B13-9A21-81E8E6BD568E}" uniqueName="4" name="1h Change (%)" queryTableFieldId="4"/>
    <tableColumn id="5" xr3:uid="{34A1EE0D-0A69-4C80-ADC4-09BD64A3C87D}" uniqueName="5" name="Market Cap $" queryTableFieldId="5"/>
    <tableColumn id="6" xr3:uid="{A9BF9D94-D1DC-4CF8-9EAD-EFE33B20ED2C}" uniqueName="6" name="Market Cap" queryTableFieldId="6" dataDxfId="5"/>
    <tableColumn id="7" xr3:uid="{E84D3F6B-15B6-4D8B-B5FF-A79A02935D92}" uniqueName="7" name="Volume (24h) USD $" queryTableFieldId="7"/>
    <tableColumn id="8" xr3:uid="{71F6FC4B-43FF-4054-BBF8-0383CB5F041B}" uniqueName="8" name="Volume (24h) USD" queryTableFieldId="8" dataDxfId="4"/>
    <tableColumn id="9" xr3:uid="{B2D5818A-8720-47C3-8D45-12C0EDC2DF41}" uniqueName="9" name="Curculating Supply $" queryTableFieldId="9"/>
    <tableColumn id="10" xr3:uid="{1CF113BC-BEFA-473D-A912-E2A0DB995ADD}" uniqueName="10" name="Circulating Supply" queryTableFieldId="10" dataDxfId="3"/>
    <tableColumn id="11" xr3:uid="{AF7A6DD1-687C-41F4-8C5E-4EDBCDF7BF0F}" uniqueName="11" name="Dollar Volume Per Supply" queryTableFieldId="11" dataDxfId="2">
      <calculatedColumnFormula>Cleaned_data[[#This Row],[Volume (24h) USD $]]/Cleaned_data[[#This Row],[Curculating Supply $]]</calculatedColumnFormula>
    </tableColumn>
    <tableColumn id="12" xr3:uid="{38DCA669-2D9E-460A-9B28-C560D22B06F4}" uniqueName="12" name="Rank" queryTableFieldId="12" dataDxfId="1">
      <calculatedColumnFormula>RANK(Cleaned_data[[#This Row],[Market Cap $]],Cleaned_data[Market Cap $],0)</calculatedColumnFormula>
    </tableColumn>
    <tableColumn id="13" xr3:uid="{A39D5CA9-0BEA-4AD9-80E8-3ED1EB38AA44}" uniqueName="13" name="Price Range" queryTableFieldId="13" dataDxfId="0">
      <calculatedColumnFormula>IF(C2&lt;=0.5,"0-0.5",
IF(C2&lt;=1,"0.5-1",
IF(C2&lt;=2,"1-2",
IF(C2&lt;=10,"2-10",
IF(C2&lt;=100,"10-100",
IF(C2&lt;=10000,"100-10000",
"10000+"))))))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workbookViewId="0">
      <pane ySplit="1" topLeftCell="A277" activePane="bottomLeft" state="frozen"/>
      <selection pane="bottomLeft" activeCell="I290" sqref="I290"/>
    </sheetView>
  </sheetViews>
  <sheetFormatPr defaultRowHeight="14.4" x14ac:dyDescent="0.3"/>
  <cols>
    <col min="1" max="1" width="46.88671875" bestFit="1" customWidth="1"/>
    <col min="2" max="2" width="9.88671875" bestFit="1" customWidth="1"/>
    <col min="3" max="3" width="12.33203125" customWidth="1"/>
    <col min="4" max="4" width="15" customWidth="1"/>
    <col min="5" max="5" width="12.6640625" customWidth="1"/>
    <col min="6" max="6" width="18.33203125" customWidth="1"/>
    <col min="7" max="7" width="18"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19</v>
      </c>
      <c r="G3" t="s">
        <v>20</v>
      </c>
    </row>
    <row r="4" spans="1:7" x14ac:dyDescent="0.3">
      <c r="A4" t="s">
        <v>21</v>
      </c>
      <c r="B4" t="s">
        <v>22</v>
      </c>
      <c r="C4" t="s">
        <v>23</v>
      </c>
      <c r="D4" t="s">
        <v>24</v>
      </c>
      <c r="E4" t="s">
        <v>25</v>
      </c>
      <c r="F4" t="s">
        <v>26</v>
      </c>
      <c r="G4" t="s">
        <v>27</v>
      </c>
    </row>
    <row r="5" spans="1:7" x14ac:dyDescent="0.3">
      <c r="A5" t="s">
        <v>28</v>
      </c>
      <c r="B5" t="s">
        <v>29</v>
      </c>
      <c r="C5" t="s">
        <v>30</v>
      </c>
      <c r="D5" t="s">
        <v>31</v>
      </c>
      <c r="E5" t="s">
        <v>32</v>
      </c>
      <c r="F5" t="s">
        <v>33</v>
      </c>
      <c r="G5" t="s">
        <v>34</v>
      </c>
    </row>
    <row r="6" spans="1:7" x14ac:dyDescent="0.3">
      <c r="A6" t="s">
        <v>35</v>
      </c>
      <c r="B6" t="s">
        <v>35</v>
      </c>
      <c r="C6" t="s">
        <v>36</v>
      </c>
      <c r="D6" t="s">
        <v>37</v>
      </c>
      <c r="E6" t="s">
        <v>38</v>
      </c>
      <c r="F6" t="s">
        <v>39</v>
      </c>
      <c r="G6" t="s">
        <v>40</v>
      </c>
    </row>
    <row r="7" spans="1:7" x14ac:dyDescent="0.3">
      <c r="A7" t="s">
        <v>41</v>
      </c>
      <c r="B7" t="s">
        <v>41</v>
      </c>
      <c r="C7" t="s">
        <v>42</v>
      </c>
      <c r="D7" t="s">
        <v>43</v>
      </c>
      <c r="E7" t="s">
        <v>44</v>
      </c>
      <c r="F7" t="s">
        <v>45</v>
      </c>
      <c r="G7" t="s">
        <v>46</v>
      </c>
    </row>
    <row r="8" spans="1:7" x14ac:dyDescent="0.3">
      <c r="A8" t="s">
        <v>47</v>
      </c>
      <c r="B8" t="s">
        <v>47</v>
      </c>
      <c r="C8" t="s">
        <v>48</v>
      </c>
      <c r="D8" t="s">
        <v>49</v>
      </c>
      <c r="E8" t="s">
        <v>50</v>
      </c>
      <c r="F8" t="s">
        <v>51</v>
      </c>
      <c r="G8" t="s">
        <v>52</v>
      </c>
    </row>
    <row r="9" spans="1:7" x14ac:dyDescent="0.3">
      <c r="A9" t="s">
        <v>53</v>
      </c>
      <c r="B9" t="s">
        <v>54</v>
      </c>
      <c r="C9" t="s">
        <v>55</v>
      </c>
      <c r="D9" t="s">
        <v>17</v>
      </c>
      <c r="E9" t="s">
        <v>56</v>
      </c>
      <c r="F9" t="s">
        <v>57</v>
      </c>
      <c r="G9" t="s">
        <v>58</v>
      </c>
    </row>
    <row r="10" spans="1:7" x14ac:dyDescent="0.3">
      <c r="A10" t="s">
        <v>59</v>
      </c>
      <c r="B10" t="s">
        <v>60</v>
      </c>
      <c r="C10" t="s">
        <v>61</v>
      </c>
      <c r="D10" t="s">
        <v>10</v>
      </c>
      <c r="E10" t="s">
        <v>62</v>
      </c>
      <c r="F10" t="s">
        <v>63</v>
      </c>
      <c r="G10" t="s">
        <v>64</v>
      </c>
    </row>
    <row r="11" spans="1:7" x14ac:dyDescent="0.3">
      <c r="A11" t="s">
        <v>65</v>
      </c>
      <c r="B11" t="s">
        <v>66</v>
      </c>
      <c r="C11" t="s">
        <v>67</v>
      </c>
      <c r="D11" t="s">
        <v>68</v>
      </c>
      <c r="E11" t="s">
        <v>69</v>
      </c>
      <c r="F11" t="s">
        <v>70</v>
      </c>
      <c r="G11" t="s">
        <v>71</v>
      </c>
    </row>
    <row r="12" spans="1:7" x14ac:dyDescent="0.3">
      <c r="A12" t="s">
        <v>72</v>
      </c>
      <c r="B12" t="s">
        <v>73</v>
      </c>
      <c r="C12" t="s">
        <v>74</v>
      </c>
      <c r="D12" t="s">
        <v>75</v>
      </c>
      <c r="E12" t="s">
        <v>76</v>
      </c>
      <c r="F12" t="s">
        <v>77</v>
      </c>
      <c r="G12" t="s">
        <v>78</v>
      </c>
    </row>
    <row r="13" spans="1:7" x14ac:dyDescent="0.3">
      <c r="A13" t="s">
        <v>79</v>
      </c>
      <c r="B13" t="s">
        <v>80</v>
      </c>
      <c r="C13" t="s">
        <v>81</v>
      </c>
      <c r="D13" t="s">
        <v>43</v>
      </c>
      <c r="E13" t="s">
        <v>82</v>
      </c>
      <c r="F13" t="s">
        <v>83</v>
      </c>
      <c r="G13" t="s">
        <v>84</v>
      </c>
    </row>
    <row r="14" spans="1:7" x14ac:dyDescent="0.3">
      <c r="A14" t="s">
        <v>85</v>
      </c>
      <c r="B14" t="s">
        <v>86</v>
      </c>
      <c r="C14" t="s">
        <v>87</v>
      </c>
      <c r="D14" t="s">
        <v>88</v>
      </c>
      <c r="E14" t="s">
        <v>89</v>
      </c>
      <c r="F14" t="s">
        <v>90</v>
      </c>
      <c r="G14" t="s">
        <v>91</v>
      </c>
    </row>
    <row r="15" spans="1:7" x14ac:dyDescent="0.3">
      <c r="A15" t="s">
        <v>92</v>
      </c>
      <c r="B15" t="s">
        <v>93</v>
      </c>
      <c r="C15" t="s">
        <v>94</v>
      </c>
      <c r="D15" t="s">
        <v>95</v>
      </c>
      <c r="E15" t="s">
        <v>96</v>
      </c>
      <c r="F15" t="s">
        <v>97</v>
      </c>
      <c r="G15" t="s">
        <v>98</v>
      </c>
    </row>
    <row r="16" spans="1:7" x14ac:dyDescent="0.3">
      <c r="A16" t="s">
        <v>99</v>
      </c>
      <c r="B16" t="s">
        <v>100</v>
      </c>
      <c r="C16" t="s">
        <v>101</v>
      </c>
      <c r="D16" t="s">
        <v>102</v>
      </c>
      <c r="E16" t="s">
        <v>103</v>
      </c>
      <c r="F16" t="s">
        <v>104</v>
      </c>
      <c r="G16" t="s">
        <v>105</v>
      </c>
    </row>
    <row r="17" spans="1:7" x14ac:dyDescent="0.3">
      <c r="A17" t="s">
        <v>106</v>
      </c>
      <c r="B17" t="s">
        <v>106</v>
      </c>
      <c r="C17" t="s">
        <v>107</v>
      </c>
      <c r="D17" t="s">
        <v>108</v>
      </c>
      <c r="E17" t="s">
        <v>109</v>
      </c>
      <c r="F17" t="s">
        <v>110</v>
      </c>
      <c r="G17" t="s">
        <v>111</v>
      </c>
    </row>
    <row r="18" spans="1:7" x14ac:dyDescent="0.3">
      <c r="A18" t="s">
        <v>112</v>
      </c>
      <c r="B18" t="s">
        <v>113</v>
      </c>
      <c r="C18" t="s">
        <v>114</v>
      </c>
      <c r="D18" t="s">
        <v>115</v>
      </c>
      <c r="E18" t="s">
        <v>116</v>
      </c>
      <c r="F18" t="s">
        <v>117</v>
      </c>
      <c r="G18" t="s">
        <v>118</v>
      </c>
    </row>
    <row r="19" spans="1:7" x14ac:dyDescent="0.3">
      <c r="A19" t="s">
        <v>119</v>
      </c>
      <c r="B19" t="s">
        <v>120</v>
      </c>
      <c r="C19" t="s">
        <v>121</v>
      </c>
      <c r="D19" t="s">
        <v>122</v>
      </c>
      <c r="E19" t="s">
        <v>123</v>
      </c>
      <c r="F19" t="s">
        <v>124</v>
      </c>
      <c r="G19" t="s">
        <v>125</v>
      </c>
    </row>
    <row r="20" spans="1:7" x14ac:dyDescent="0.3">
      <c r="A20" t="s">
        <v>126</v>
      </c>
      <c r="B20" t="s">
        <v>127</v>
      </c>
      <c r="C20" t="s">
        <v>128</v>
      </c>
      <c r="D20" t="s">
        <v>129</v>
      </c>
      <c r="E20" t="s">
        <v>130</v>
      </c>
      <c r="F20" t="s">
        <v>131</v>
      </c>
      <c r="G20" t="s">
        <v>132</v>
      </c>
    </row>
    <row r="21" spans="1:7" x14ac:dyDescent="0.3">
      <c r="A21" t="s">
        <v>133</v>
      </c>
      <c r="B21" t="s">
        <v>134</v>
      </c>
      <c r="C21" t="s">
        <v>135</v>
      </c>
      <c r="D21" t="s">
        <v>136</v>
      </c>
      <c r="E21" t="s">
        <v>137</v>
      </c>
      <c r="F21" t="s">
        <v>138</v>
      </c>
      <c r="G21" t="s">
        <v>139</v>
      </c>
    </row>
    <row r="22" spans="1:7" x14ac:dyDescent="0.3">
      <c r="A22" t="s">
        <v>140</v>
      </c>
      <c r="B22" t="s">
        <v>141</v>
      </c>
      <c r="C22" t="s">
        <v>142</v>
      </c>
      <c r="D22" t="s">
        <v>10</v>
      </c>
      <c r="E22" t="s">
        <v>143</v>
      </c>
      <c r="F22" t="s">
        <v>144</v>
      </c>
      <c r="G22" t="s">
        <v>145</v>
      </c>
    </row>
    <row r="23" spans="1:7" x14ac:dyDescent="0.3">
      <c r="A23" t="s">
        <v>146</v>
      </c>
      <c r="B23" t="s">
        <v>147</v>
      </c>
      <c r="C23" t="s">
        <v>148</v>
      </c>
      <c r="D23" t="s">
        <v>68</v>
      </c>
      <c r="E23" t="s">
        <v>149</v>
      </c>
      <c r="F23" t="s">
        <v>150</v>
      </c>
      <c r="G23" t="s">
        <v>20</v>
      </c>
    </row>
    <row r="24" spans="1:7" x14ac:dyDescent="0.3">
      <c r="A24" t="s">
        <v>151</v>
      </c>
      <c r="B24" t="s">
        <v>152</v>
      </c>
      <c r="C24" t="s">
        <v>153</v>
      </c>
      <c r="D24" t="s">
        <v>154</v>
      </c>
      <c r="E24" t="s">
        <v>155</v>
      </c>
      <c r="F24" t="s">
        <v>156</v>
      </c>
      <c r="G24" t="s">
        <v>157</v>
      </c>
    </row>
    <row r="25" spans="1:7" x14ac:dyDescent="0.3">
      <c r="A25" t="s">
        <v>158</v>
      </c>
      <c r="B25" t="s">
        <v>159</v>
      </c>
      <c r="C25" t="s">
        <v>160</v>
      </c>
      <c r="D25" t="s">
        <v>161</v>
      </c>
      <c r="E25" t="s">
        <v>162</v>
      </c>
      <c r="F25" t="s">
        <v>163</v>
      </c>
      <c r="G25" t="s">
        <v>164</v>
      </c>
    </row>
    <row r="26" spans="1:7" x14ac:dyDescent="0.3">
      <c r="A26" t="s">
        <v>165</v>
      </c>
      <c r="B26" t="s">
        <v>166</v>
      </c>
      <c r="C26" t="s">
        <v>167</v>
      </c>
      <c r="D26" t="s">
        <v>168</v>
      </c>
      <c r="E26" t="s">
        <v>169</v>
      </c>
      <c r="F26" t="s">
        <v>170</v>
      </c>
      <c r="G26" t="s">
        <v>171</v>
      </c>
    </row>
    <row r="27" spans="1:7" x14ac:dyDescent="0.3">
      <c r="A27" t="s">
        <v>172</v>
      </c>
      <c r="B27" t="s">
        <v>173</v>
      </c>
      <c r="C27" t="s">
        <v>174</v>
      </c>
      <c r="D27" t="s">
        <v>175</v>
      </c>
      <c r="E27" t="s">
        <v>176</v>
      </c>
      <c r="F27" t="s">
        <v>177</v>
      </c>
      <c r="G27" t="s">
        <v>178</v>
      </c>
    </row>
    <row r="28" spans="1:7" x14ac:dyDescent="0.3">
      <c r="A28" t="s">
        <v>179</v>
      </c>
      <c r="B28" t="s">
        <v>180</v>
      </c>
      <c r="C28" t="s">
        <v>181</v>
      </c>
      <c r="D28" t="s">
        <v>182</v>
      </c>
      <c r="E28" t="s">
        <v>183</v>
      </c>
      <c r="F28" t="s">
        <v>184</v>
      </c>
      <c r="G28" t="s">
        <v>185</v>
      </c>
    </row>
    <row r="29" spans="1:7" x14ac:dyDescent="0.3">
      <c r="A29" t="s">
        <v>186</v>
      </c>
      <c r="B29" t="s">
        <v>187</v>
      </c>
      <c r="C29" t="s">
        <v>188</v>
      </c>
      <c r="D29" t="s">
        <v>37</v>
      </c>
      <c r="E29" t="s">
        <v>189</v>
      </c>
      <c r="F29" t="s">
        <v>190</v>
      </c>
      <c r="G29" t="s">
        <v>191</v>
      </c>
    </row>
    <row r="30" spans="1:7" x14ac:dyDescent="0.3">
      <c r="A30" t="s">
        <v>192</v>
      </c>
      <c r="B30" t="s">
        <v>193</v>
      </c>
      <c r="C30" t="s">
        <v>194</v>
      </c>
      <c r="D30" t="s">
        <v>195</v>
      </c>
      <c r="E30" t="s">
        <v>196</v>
      </c>
      <c r="F30" t="s">
        <v>197</v>
      </c>
      <c r="G30" t="s">
        <v>198</v>
      </c>
    </row>
    <row r="31" spans="1:7" x14ac:dyDescent="0.3">
      <c r="A31" t="s">
        <v>199</v>
      </c>
      <c r="B31" t="s">
        <v>200</v>
      </c>
      <c r="C31" t="s">
        <v>201</v>
      </c>
      <c r="D31" t="s">
        <v>88</v>
      </c>
      <c r="E31" t="s">
        <v>202</v>
      </c>
      <c r="F31" t="s">
        <v>203</v>
      </c>
      <c r="G31" t="s">
        <v>204</v>
      </c>
    </row>
    <row r="32" spans="1:7" x14ac:dyDescent="0.3">
      <c r="A32" t="s">
        <v>205</v>
      </c>
      <c r="B32" t="s">
        <v>206</v>
      </c>
      <c r="C32" t="s">
        <v>207</v>
      </c>
      <c r="D32" t="s">
        <v>208</v>
      </c>
      <c r="E32" t="s">
        <v>209</v>
      </c>
      <c r="F32" t="s">
        <v>210</v>
      </c>
      <c r="G32" t="s">
        <v>211</v>
      </c>
    </row>
    <row r="33" spans="1:7" x14ac:dyDescent="0.3">
      <c r="A33" t="s">
        <v>212</v>
      </c>
      <c r="B33" t="s">
        <v>213</v>
      </c>
      <c r="C33" t="s">
        <v>214</v>
      </c>
      <c r="D33" t="s">
        <v>37</v>
      </c>
      <c r="E33" t="s">
        <v>215</v>
      </c>
      <c r="F33" t="s">
        <v>216</v>
      </c>
      <c r="G33" t="s">
        <v>217</v>
      </c>
    </row>
    <row r="34" spans="1:7" x14ac:dyDescent="0.3">
      <c r="A34" t="s">
        <v>218</v>
      </c>
      <c r="B34" t="s">
        <v>219</v>
      </c>
      <c r="C34" t="s">
        <v>107</v>
      </c>
      <c r="D34" t="s">
        <v>10</v>
      </c>
      <c r="E34" t="s">
        <v>220</v>
      </c>
      <c r="F34" t="s">
        <v>221</v>
      </c>
      <c r="G34" t="s">
        <v>222</v>
      </c>
    </row>
    <row r="35" spans="1:7" x14ac:dyDescent="0.3">
      <c r="A35" t="s">
        <v>223</v>
      </c>
      <c r="B35" t="s">
        <v>223</v>
      </c>
      <c r="C35" t="s">
        <v>224</v>
      </c>
      <c r="D35" t="s">
        <v>225</v>
      </c>
      <c r="E35" t="s">
        <v>226</v>
      </c>
      <c r="F35" t="s">
        <v>227</v>
      </c>
      <c r="G35" t="s">
        <v>228</v>
      </c>
    </row>
    <row r="36" spans="1:7" x14ac:dyDescent="0.3">
      <c r="A36" t="s">
        <v>229</v>
      </c>
      <c r="B36" t="s">
        <v>230</v>
      </c>
      <c r="C36" t="s">
        <v>231</v>
      </c>
      <c r="D36" t="s">
        <v>208</v>
      </c>
      <c r="E36" t="s">
        <v>232</v>
      </c>
      <c r="F36" t="s">
        <v>233</v>
      </c>
      <c r="G36" t="s">
        <v>234</v>
      </c>
    </row>
    <row r="37" spans="1:7" x14ac:dyDescent="0.3">
      <c r="A37" t="s">
        <v>235</v>
      </c>
      <c r="B37" t="s">
        <v>235</v>
      </c>
      <c r="C37" t="s">
        <v>236</v>
      </c>
      <c r="D37" t="s">
        <v>43</v>
      </c>
      <c r="E37" t="s">
        <v>237</v>
      </c>
      <c r="F37" t="s">
        <v>238</v>
      </c>
      <c r="G37" t="s">
        <v>239</v>
      </c>
    </row>
    <row r="38" spans="1:7" x14ac:dyDescent="0.3">
      <c r="A38" t="s">
        <v>240</v>
      </c>
      <c r="B38" t="s">
        <v>241</v>
      </c>
      <c r="C38" t="s">
        <v>242</v>
      </c>
      <c r="D38" t="s">
        <v>208</v>
      </c>
      <c r="E38" t="s">
        <v>243</v>
      </c>
      <c r="F38" t="s">
        <v>244</v>
      </c>
      <c r="G38" t="s">
        <v>245</v>
      </c>
    </row>
    <row r="39" spans="1:7" x14ac:dyDescent="0.3">
      <c r="A39" t="s">
        <v>246</v>
      </c>
      <c r="B39" t="s">
        <v>247</v>
      </c>
      <c r="C39" t="s">
        <v>248</v>
      </c>
      <c r="D39" t="s">
        <v>249</v>
      </c>
      <c r="E39" t="s">
        <v>250</v>
      </c>
      <c r="F39" t="s">
        <v>251</v>
      </c>
      <c r="G39" t="s">
        <v>252</v>
      </c>
    </row>
    <row r="40" spans="1:7" x14ac:dyDescent="0.3">
      <c r="A40" t="s">
        <v>253</v>
      </c>
      <c r="B40" t="s">
        <v>254</v>
      </c>
      <c r="C40" t="s">
        <v>255</v>
      </c>
      <c r="D40" t="s">
        <v>256</v>
      </c>
      <c r="E40" t="s">
        <v>257</v>
      </c>
      <c r="F40" t="s">
        <v>258</v>
      </c>
      <c r="G40" t="s">
        <v>259</v>
      </c>
    </row>
    <row r="41" spans="1:7" x14ac:dyDescent="0.3">
      <c r="A41" t="s">
        <v>260</v>
      </c>
      <c r="B41" t="s">
        <v>260</v>
      </c>
      <c r="C41" t="s">
        <v>261</v>
      </c>
      <c r="D41" t="s">
        <v>43</v>
      </c>
      <c r="E41" t="s">
        <v>262</v>
      </c>
      <c r="F41" t="s">
        <v>263</v>
      </c>
      <c r="G41" t="s">
        <v>264</v>
      </c>
    </row>
    <row r="42" spans="1:7" x14ac:dyDescent="0.3">
      <c r="A42" t="s">
        <v>265</v>
      </c>
      <c r="B42" t="s">
        <v>266</v>
      </c>
      <c r="C42" t="s">
        <v>267</v>
      </c>
      <c r="D42" t="s">
        <v>43</v>
      </c>
      <c r="E42" t="s">
        <v>268</v>
      </c>
      <c r="F42" t="s">
        <v>269</v>
      </c>
      <c r="G42" t="s">
        <v>270</v>
      </c>
    </row>
    <row r="43" spans="1:7" x14ac:dyDescent="0.3">
      <c r="A43" t="s">
        <v>271</v>
      </c>
      <c r="B43" t="s">
        <v>272</v>
      </c>
      <c r="C43" t="s">
        <v>273</v>
      </c>
      <c r="D43" t="s">
        <v>225</v>
      </c>
      <c r="E43" t="s">
        <v>274</v>
      </c>
      <c r="F43" t="s">
        <v>275</v>
      </c>
      <c r="G43" t="s">
        <v>276</v>
      </c>
    </row>
    <row r="44" spans="1:7" x14ac:dyDescent="0.3">
      <c r="A44" t="s">
        <v>277</v>
      </c>
      <c r="B44" t="s">
        <v>278</v>
      </c>
      <c r="C44" t="s">
        <v>279</v>
      </c>
      <c r="D44" t="s">
        <v>43</v>
      </c>
      <c r="E44" t="s">
        <v>280</v>
      </c>
      <c r="F44" t="s">
        <v>269</v>
      </c>
      <c r="G44" t="s">
        <v>281</v>
      </c>
    </row>
    <row r="45" spans="1:7" x14ac:dyDescent="0.3">
      <c r="A45" t="s">
        <v>282</v>
      </c>
      <c r="B45" t="s">
        <v>283</v>
      </c>
      <c r="C45" t="s">
        <v>284</v>
      </c>
      <c r="D45" t="s">
        <v>285</v>
      </c>
      <c r="E45" t="s">
        <v>286</v>
      </c>
      <c r="F45" t="s">
        <v>287</v>
      </c>
      <c r="G45" t="s">
        <v>288</v>
      </c>
    </row>
    <row r="46" spans="1:7" x14ac:dyDescent="0.3">
      <c r="A46" t="s">
        <v>289</v>
      </c>
      <c r="B46" t="s">
        <v>290</v>
      </c>
      <c r="C46" t="s">
        <v>291</v>
      </c>
      <c r="D46" t="s">
        <v>225</v>
      </c>
      <c r="E46" t="s">
        <v>292</v>
      </c>
      <c r="F46" t="s">
        <v>293</v>
      </c>
      <c r="G46" t="s">
        <v>294</v>
      </c>
    </row>
    <row r="47" spans="1:7" x14ac:dyDescent="0.3">
      <c r="A47" t="s">
        <v>295</v>
      </c>
      <c r="B47" t="s">
        <v>296</v>
      </c>
      <c r="C47" t="s">
        <v>297</v>
      </c>
      <c r="D47" t="s">
        <v>195</v>
      </c>
      <c r="E47" t="s">
        <v>298</v>
      </c>
      <c r="F47" t="s">
        <v>299</v>
      </c>
      <c r="G47" t="s">
        <v>300</v>
      </c>
    </row>
    <row r="48" spans="1:7" x14ac:dyDescent="0.3">
      <c r="A48" t="s">
        <v>301</v>
      </c>
      <c r="B48" t="s">
        <v>302</v>
      </c>
      <c r="C48" t="s">
        <v>303</v>
      </c>
      <c r="D48" t="s">
        <v>31</v>
      </c>
      <c r="E48" t="s">
        <v>304</v>
      </c>
      <c r="F48" t="s">
        <v>305</v>
      </c>
      <c r="G48" t="s">
        <v>306</v>
      </c>
    </row>
    <row r="49" spans="1:7" x14ac:dyDescent="0.3">
      <c r="A49" t="s">
        <v>307</v>
      </c>
      <c r="B49" t="s">
        <v>308</v>
      </c>
      <c r="C49" t="s">
        <v>309</v>
      </c>
      <c r="D49" t="s">
        <v>17</v>
      </c>
      <c r="E49" t="s">
        <v>310</v>
      </c>
      <c r="F49" t="s">
        <v>311</v>
      </c>
      <c r="G49" t="s">
        <v>312</v>
      </c>
    </row>
    <row r="50" spans="1:7" x14ac:dyDescent="0.3">
      <c r="A50" t="s">
        <v>313</v>
      </c>
      <c r="B50" t="s">
        <v>314</v>
      </c>
      <c r="C50" t="s">
        <v>315</v>
      </c>
      <c r="D50" t="s">
        <v>316</v>
      </c>
      <c r="E50" t="s">
        <v>317</v>
      </c>
      <c r="F50" t="s">
        <v>318</v>
      </c>
      <c r="G50" t="s">
        <v>319</v>
      </c>
    </row>
    <row r="51" spans="1:7" x14ac:dyDescent="0.3">
      <c r="A51" t="s">
        <v>320</v>
      </c>
      <c r="B51" t="s">
        <v>321</v>
      </c>
      <c r="C51" t="s">
        <v>322</v>
      </c>
      <c r="D51" t="s">
        <v>323</v>
      </c>
      <c r="E51" t="s">
        <v>324</v>
      </c>
      <c r="F51" t="s">
        <v>325</v>
      </c>
      <c r="G51" t="s">
        <v>326</v>
      </c>
    </row>
    <row r="52" spans="1:7" x14ac:dyDescent="0.3">
      <c r="A52" t="s">
        <v>327</v>
      </c>
      <c r="B52" t="s">
        <v>328</v>
      </c>
      <c r="C52" t="s">
        <v>329</v>
      </c>
      <c r="D52" t="s">
        <v>330</v>
      </c>
      <c r="E52" t="s">
        <v>331</v>
      </c>
      <c r="F52" t="s">
        <v>332</v>
      </c>
      <c r="G52" t="s">
        <v>333</v>
      </c>
    </row>
    <row r="53" spans="1:7" x14ac:dyDescent="0.3">
      <c r="A53" t="s">
        <v>334</v>
      </c>
      <c r="B53" t="s">
        <v>335</v>
      </c>
      <c r="C53" t="s">
        <v>336</v>
      </c>
      <c r="D53" t="s">
        <v>168</v>
      </c>
      <c r="E53" t="s">
        <v>337</v>
      </c>
      <c r="F53" t="s">
        <v>338</v>
      </c>
      <c r="G53" t="s">
        <v>339</v>
      </c>
    </row>
    <row r="54" spans="1:7" x14ac:dyDescent="0.3">
      <c r="A54" t="s">
        <v>340</v>
      </c>
      <c r="B54" t="s">
        <v>341</v>
      </c>
      <c r="C54" t="s">
        <v>342</v>
      </c>
      <c r="D54" t="s">
        <v>343</v>
      </c>
      <c r="E54" t="s">
        <v>344</v>
      </c>
      <c r="F54" t="s">
        <v>345</v>
      </c>
      <c r="G54" t="s">
        <v>346</v>
      </c>
    </row>
    <row r="55" spans="1:7" x14ac:dyDescent="0.3">
      <c r="A55" t="s">
        <v>347</v>
      </c>
      <c r="B55" t="s">
        <v>348</v>
      </c>
      <c r="C55" t="s">
        <v>349</v>
      </c>
      <c r="D55" t="s">
        <v>350</v>
      </c>
      <c r="E55" t="s">
        <v>351</v>
      </c>
      <c r="F55" t="s">
        <v>352</v>
      </c>
      <c r="G55" t="s">
        <v>353</v>
      </c>
    </row>
    <row r="56" spans="1:7" x14ac:dyDescent="0.3">
      <c r="A56" t="s">
        <v>354</v>
      </c>
      <c r="B56" t="s">
        <v>355</v>
      </c>
      <c r="C56" t="s">
        <v>356</v>
      </c>
      <c r="D56" t="s">
        <v>102</v>
      </c>
      <c r="E56" t="s">
        <v>357</v>
      </c>
      <c r="F56" t="s">
        <v>358</v>
      </c>
      <c r="G56" t="s">
        <v>359</v>
      </c>
    </row>
    <row r="57" spans="1:7" x14ac:dyDescent="0.3">
      <c r="A57" t="s">
        <v>360</v>
      </c>
      <c r="B57" t="s">
        <v>361</v>
      </c>
      <c r="C57" t="s">
        <v>362</v>
      </c>
      <c r="D57" t="s">
        <v>115</v>
      </c>
      <c r="E57" t="s">
        <v>363</v>
      </c>
      <c r="F57" t="s">
        <v>197</v>
      </c>
      <c r="G57" t="s">
        <v>364</v>
      </c>
    </row>
    <row r="58" spans="1:7" x14ac:dyDescent="0.3">
      <c r="A58" t="s">
        <v>365</v>
      </c>
      <c r="B58" t="s">
        <v>366</v>
      </c>
      <c r="C58" t="s">
        <v>367</v>
      </c>
      <c r="D58" t="s">
        <v>368</v>
      </c>
      <c r="E58" t="s">
        <v>369</v>
      </c>
      <c r="F58" t="s">
        <v>370</v>
      </c>
      <c r="G58" t="s">
        <v>371</v>
      </c>
    </row>
    <row r="59" spans="1:7" x14ac:dyDescent="0.3">
      <c r="A59" t="s">
        <v>372</v>
      </c>
      <c r="B59" t="s">
        <v>373</v>
      </c>
      <c r="C59" t="s">
        <v>374</v>
      </c>
      <c r="D59" t="s">
        <v>375</v>
      </c>
      <c r="E59" t="s">
        <v>376</v>
      </c>
      <c r="F59" t="s">
        <v>377</v>
      </c>
      <c r="G59" t="s">
        <v>378</v>
      </c>
    </row>
    <row r="60" spans="1:7" x14ac:dyDescent="0.3">
      <c r="A60" t="s">
        <v>379</v>
      </c>
      <c r="B60" t="s">
        <v>380</v>
      </c>
      <c r="C60" t="s">
        <v>381</v>
      </c>
      <c r="D60" t="s">
        <v>31</v>
      </c>
      <c r="E60" t="s">
        <v>382</v>
      </c>
      <c r="F60" t="s">
        <v>383</v>
      </c>
      <c r="G60" t="s">
        <v>384</v>
      </c>
    </row>
    <row r="61" spans="1:7" x14ac:dyDescent="0.3">
      <c r="A61" t="s">
        <v>385</v>
      </c>
      <c r="B61" t="s">
        <v>386</v>
      </c>
      <c r="C61" t="s">
        <v>387</v>
      </c>
      <c r="D61" t="s">
        <v>31</v>
      </c>
      <c r="E61" t="s">
        <v>388</v>
      </c>
      <c r="F61" t="s">
        <v>389</v>
      </c>
      <c r="G61" t="s">
        <v>390</v>
      </c>
    </row>
    <row r="62" spans="1:7" x14ac:dyDescent="0.3">
      <c r="A62" t="s">
        <v>391</v>
      </c>
      <c r="B62" t="s">
        <v>392</v>
      </c>
      <c r="C62" t="s">
        <v>393</v>
      </c>
      <c r="D62" t="s">
        <v>208</v>
      </c>
      <c r="E62" t="s">
        <v>394</v>
      </c>
      <c r="F62" t="s">
        <v>395</v>
      </c>
      <c r="G62" t="s">
        <v>396</v>
      </c>
    </row>
    <row r="63" spans="1:7" x14ac:dyDescent="0.3">
      <c r="A63" t="s">
        <v>397</v>
      </c>
      <c r="B63" t="s">
        <v>398</v>
      </c>
      <c r="C63" t="s">
        <v>399</v>
      </c>
      <c r="D63" t="s">
        <v>31</v>
      </c>
      <c r="E63" t="s">
        <v>400</v>
      </c>
      <c r="F63" t="s">
        <v>401</v>
      </c>
      <c r="G63" t="s">
        <v>402</v>
      </c>
    </row>
    <row r="64" spans="1:7" x14ac:dyDescent="0.3">
      <c r="A64" t="s">
        <v>403</v>
      </c>
      <c r="B64" t="s">
        <v>404</v>
      </c>
      <c r="C64" t="s">
        <v>405</v>
      </c>
      <c r="D64" t="s">
        <v>75</v>
      </c>
      <c r="E64" t="s">
        <v>406</v>
      </c>
      <c r="F64" t="s">
        <v>407</v>
      </c>
      <c r="G64" t="s">
        <v>408</v>
      </c>
    </row>
    <row r="65" spans="1:7" x14ac:dyDescent="0.3">
      <c r="A65" t="s">
        <v>409</v>
      </c>
      <c r="B65" t="s">
        <v>410</v>
      </c>
      <c r="C65" t="s">
        <v>411</v>
      </c>
      <c r="D65" t="s">
        <v>412</v>
      </c>
      <c r="E65" t="s">
        <v>413</v>
      </c>
      <c r="F65" t="s">
        <v>414</v>
      </c>
      <c r="G65" t="s">
        <v>415</v>
      </c>
    </row>
    <row r="66" spans="1:7" x14ac:dyDescent="0.3">
      <c r="A66" t="s">
        <v>416</v>
      </c>
      <c r="B66" t="s">
        <v>417</v>
      </c>
      <c r="C66" t="s">
        <v>418</v>
      </c>
      <c r="D66" t="s">
        <v>419</v>
      </c>
      <c r="E66" t="s">
        <v>420</v>
      </c>
      <c r="F66" t="s">
        <v>421</v>
      </c>
      <c r="G66" t="s">
        <v>422</v>
      </c>
    </row>
    <row r="67" spans="1:7" x14ac:dyDescent="0.3">
      <c r="A67" t="s">
        <v>423</v>
      </c>
      <c r="B67" t="s">
        <v>424</v>
      </c>
      <c r="C67" t="s">
        <v>425</v>
      </c>
      <c r="D67" t="s">
        <v>49</v>
      </c>
      <c r="E67" t="s">
        <v>426</v>
      </c>
      <c r="F67" t="s">
        <v>427</v>
      </c>
      <c r="G67" t="s">
        <v>428</v>
      </c>
    </row>
    <row r="68" spans="1:7" x14ac:dyDescent="0.3">
      <c r="A68" t="s">
        <v>429</v>
      </c>
      <c r="B68" t="s">
        <v>430</v>
      </c>
      <c r="C68" t="s">
        <v>431</v>
      </c>
      <c r="D68" t="s">
        <v>31</v>
      </c>
      <c r="E68" t="s">
        <v>432</v>
      </c>
      <c r="F68" t="s">
        <v>433</v>
      </c>
      <c r="G68" t="s">
        <v>434</v>
      </c>
    </row>
    <row r="69" spans="1:7" x14ac:dyDescent="0.3">
      <c r="A69" t="s">
        <v>435</v>
      </c>
      <c r="B69" t="s">
        <v>436</v>
      </c>
      <c r="C69" t="s">
        <v>437</v>
      </c>
      <c r="D69" t="s">
        <v>438</v>
      </c>
      <c r="E69" t="s">
        <v>439</v>
      </c>
      <c r="F69" t="s">
        <v>440</v>
      </c>
      <c r="G69" t="s">
        <v>441</v>
      </c>
    </row>
    <row r="70" spans="1:7" x14ac:dyDescent="0.3">
      <c r="A70" t="s">
        <v>442</v>
      </c>
      <c r="B70" t="s">
        <v>443</v>
      </c>
      <c r="C70" t="s">
        <v>444</v>
      </c>
      <c r="D70" t="s">
        <v>24</v>
      </c>
      <c r="E70" t="s">
        <v>445</v>
      </c>
      <c r="F70" t="s">
        <v>446</v>
      </c>
      <c r="G70" t="s">
        <v>447</v>
      </c>
    </row>
    <row r="71" spans="1:7" x14ac:dyDescent="0.3">
      <c r="A71" t="s">
        <v>448</v>
      </c>
      <c r="B71" t="s">
        <v>449</v>
      </c>
      <c r="C71" t="s">
        <v>450</v>
      </c>
      <c r="D71" t="s">
        <v>10</v>
      </c>
      <c r="E71" t="s">
        <v>451</v>
      </c>
      <c r="F71" t="s">
        <v>452</v>
      </c>
      <c r="G71" t="s">
        <v>453</v>
      </c>
    </row>
    <row r="72" spans="1:7" x14ac:dyDescent="0.3">
      <c r="A72" t="s">
        <v>454</v>
      </c>
      <c r="B72" t="s">
        <v>455</v>
      </c>
      <c r="C72" t="s">
        <v>456</v>
      </c>
      <c r="D72" t="s">
        <v>457</v>
      </c>
      <c r="E72" t="s">
        <v>458</v>
      </c>
      <c r="F72" t="s">
        <v>459</v>
      </c>
      <c r="G72" t="s">
        <v>460</v>
      </c>
    </row>
    <row r="73" spans="1:7" x14ac:dyDescent="0.3">
      <c r="A73" t="s">
        <v>461</v>
      </c>
      <c r="B73" t="s">
        <v>462</v>
      </c>
      <c r="C73" t="s">
        <v>463</v>
      </c>
      <c r="D73" t="s">
        <v>175</v>
      </c>
      <c r="E73" t="s">
        <v>464</v>
      </c>
      <c r="F73" t="s">
        <v>465</v>
      </c>
      <c r="G73" t="s">
        <v>466</v>
      </c>
    </row>
    <row r="74" spans="1:7" x14ac:dyDescent="0.3">
      <c r="A74" t="s">
        <v>467</v>
      </c>
      <c r="B74" t="s">
        <v>467</v>
      </c>
      <c r="C74" t="s">
        <v>236</v>
      </c>
      <c r="D74" t="s">
        <v>43</v>
      </c>
      <c r="E74" t="s">
        <v>464</v>
      </c>
      <c r="F74" t="s">
        <v>468</v>
      </c>
      <c r="G74" t="s">
        <v>469</v>
      </c>
    </row>
    <row r="75" spans="1:7" x14ac:dyDescent="0.3">
      <c r="A75" t="s">
        <v>470</v>
      </c>
      <c r="B75" t="s">
        <v>471</v>
      </c>
      <c r="C75" t="s">
        <v>472</v>
      </c>
      <c r="D75" t="s">
        <v>225</v>
      </c>
      <c r="E75" t="s">
        <v>473</v>
      </c>
      <c r="F75" t="s">
        <v>474</v>
      </c>
      <c r="G75" t="s">
        <v>475</v>
      </c>
    </row>
    <row r="76" spans="1:7" x14ac:dyDescent="0.3">
      <c r="A76" t="s">
        <v>476</v>
      </c>
      <c r="B76" t="s">
        <v>477</v>
      </c>
      <c r="C76" t="s">
        <v>478</v>
      </c>
      <c r="D76" t="s">
        <v>479</v>
      </c>
      <c r="E76" t="s">
        <v>480</v>
      </c>
      <c r="F76" t="s">
        <v>481</v>
      </c>
      <c r="G76" t="s">
        <v>482</v>
      </c>
    </row>
    <row r="77" spans="1:7" x14ac:dyDescent="0.3">
      <c r="A77" t="s">
        <v>483</v>
      </c>
      <c r="B77" t="s">
        <v>484</v>
      </c>
      <c r="C77" t="s">
        <v>485</v>
      </c>
      <c r="D77" t="s">
        <v>486</v>
      </c>
      <c r="E77" t="s">
        <v>487</v>
      </c>
      <c r="F77" t="s">
        <v>488</v>
      </c>
      <c r="G77" t="s">
        <v>489</v>
      </c>
    </row>
    <row r="78" spans="1:7" x14ac:dyDescent="0.3">
      <c r="A78" t="s">
        <v>490</v>
      </c>
      <c r="B78" t="s">
        <v>490</v>
      </c>
      <c r="C78" t="s">
        <v>491</v>
      </c>
      <c r="D78" t="s">
        <v>43</v>
      </c>
      <c r="E78" t="s">
        <v>492</v>
      </c>
      <c r="F78" t="s">
        <v>269</v>
      </c>
      <c r="G78" t="s">
        <v>493</v>
      </c>
    </row>
    <row r="79" spans="1:7" x14ac:dyDescent="0.3">
      <c r="A79" t="s">
        <v>494</v>
      </c>
      <c r="B79" t="s">
        <v>495</v>
      </c>
      <c r="C79" t="s">
        <v>496</v>
      </c>
      <c r="D79" t="s">
        <v>497</v>
      </c>
      <c r="E79" t="s">
        <v>498</v>
      </c>
      <c r="F79" t="s">
        <v>499</v>
      </c>
      <c r="G79" t="s">
        <v>500</v>
      </c>
    </row>
    <row r="80" spans="1:7" x14ac:dyDescent="0.3">
      <c r="A80" t="s">
        <v>501</v>
      </c>
      <c r="B80" t="s">
        <v>502</v>
      </c>
      <c r="C80" t="s">
        <v>503</v>
      </c>
      <c r="D80" t="s">
        <v>504</v>
      </c>
      <c r="E80" t="s">
        <v>505</v>
      </c>
      <c r="F80" t="s">
        <v>506</v>
      </c>
      <c r="G80" t="s">
        <v>507</v>
      </c>
    </row>
    <row r="81" spans="1:7" x14ac:dyDescent="0.3">
      <c r="A81" t="s">
        <v>508</v>
      </c>
      <c r="B81" t="s">
        <v>509</v>
      </c>
      <c r="C81" t="s">
        <v>510</v>
      </c>
      <c r="D81" t="s">
        <v>511</v>
      </c>
      <c r="E81" t="s">
        <v>512</v>
      </c>
      <c r="F81" t="s">
        <v>513</v>
      </c>
      <c r="G81" t="s">
        <v>514</v>
      </c>
    </row>
    <row r="82" spans="1:7" x14ac:dyDescent="0.3">
      <c r="A82" t="s">
        <v>515</v>
      </c>
      <c r="B82" t="s">
        <v>516</v>
      </c>
      <c r="C82" t="s">
        <v>517</v>
      </c>
      <c r="D82" t="s">
        <v>195</v>
      </c>
      <c r="E82" t="s">
        <v>518</v>
      </c>
      <c r="F82" t="s">
        <v>519</v>
      </c>
      <c r="G82" t="s">
        <v>520</v>
      </c>
    </row>
    <row r="83" spans="1:7" x14ac:dyDescent="0.3">
      <c r="A83" t="s">
        <v>521</v>
      </c>
      <c r="B83" t="s">
        <v>522</v>
      </c>
      <c r="C83" t="s">
        <v>523</v>
      </c>
      <c r="D83" t="s">
        <v>524</v>
      </c>
      <c r="E83" t="s">
        <v>525</v>
      </c>
      <c r="F83" t="s">
        <v>526</v>
      </c>
      <c r="G83" t="s">
        <v>527</v>
      </c>
    </row>
    <row r="84" spans="1:7" x14ac:dyDescent="0.3">
      <c r="A84" t="s">
        <v>528</v>
      </c>
      <c r="B84" t="s">
        <v>529</v>
      </c>
      <c r="C84" t="s">
        <v>530</v>
      </c>
      <c r="D84" t="s">
        <v>531</v>
      </c>
      <c r="E84" t="s">
        <v>532</v>
      </c>
      <c r="F84" t="s">
        <v>533</v>
      </c>
      <c r="G84" t="s">
        <v>534</v>
      </c>
    </row>
    <row r="85" spans="1:7" x14ac:dyDescent="0.3">
      <c r="A85" t="s">
        <v>535</v>
      </c>
      <c r="B85" t="s">
        <v>536</v>
      </c>
      <c r="C85" t="s">
        <v>537</v>
      </c>
      <c r="D85" t="s">
        <v>129</v>
      </c>
      <c r="E85" t="s">
        <v>538</v>
      </c>
      <c r="F85" t="s">
        <v>338</v>
      </c>
      <c r="G85" t="s">
        <v>539</v>
      </c>
    </row>
    <row r="86" spans="1:7" x14ac:dyDescent="0.3">
      <c r="A86" t="s">
        <v>540</v>
      </c>
      <c r="B86" t="s">
        <v>541</v>
      </c>
      <c r="C86" t="s">
        <v>542</v>
      </c>
      <c r="D86" t="s">
        <v>543</v>
      </c>
      <c r="E86" t="s">
        <v>544</v>
      </c>
      <c r="F86" t="s">
        <v>545</v>
      </c>
      <c r="G86" t="s">
        <v>546</v>
      </c>
    </row>
    <row r="87" spans="1:7" x14ac:dyDescent="0.3">
      <c r="A87" t="s">
        <v>547</v>
      </c>
      <c r="B87" t="s">
        <v>548</v>
      </c>
      <c r="C87" t="s">
        <v>549</v>
      </c>
      <c r="D87" t="s">
        <v>550</v>
      </c>
      <c r="E87" t="s">
        <v>551</v>
      </c>
      <c r="F87" t="s">
        <v>552</v>
      </c>
      <c r="G87" t="s">
        <v>553</v>
      </c>
    </row>
    <row r="88" spans="1:7" x14ac:dyDescent="0.3">
      <c r="A88" t="s">
        <v>554</v>
      </c>
      <c r="B88" t="s">
        <v>555</v>
      </c>
      <c r="C88" t="s">
        <v>556</v>
      </c>
      <c r="D88" t="s">
        <v>129</v>
      </c>
      <c r="E88" t="s">
        <v>557</v>
      </c>
      <c r="F88" t="s">
        <v>558</v>
      </c>
      <c r="G88" t="s">
        <v>559</v>
      </c>
    </row>
    <row r="89" spans="1:7" x14ac:dyDescent="0.3">
      <c r="A89" t="s">
        <v>560</v>
      </c>
      <c r="B89" t="s">
        <v>561</v>
      </c>
      <c r="C89" t="s">
        <v>562</v>
      </c>
      <c r="D89" t="s">
        <v>563</v>
      </c>
      <c r="E89" t="s">
        <v>564</v>
      </c>
      <c r="F89" t="s">
        <v>565</v>
      </c>
      <c r="G89" t="s">
        <v>566</v>
      </c>
    </row>
    <row r="90" spans="1:7" x14ac:dyDescent="0.3">
      <c r="A90" t="s">
        <v>567</v>
      </c>
      <c r="B90" t="s">
        <v>568</v>
      </c>
      <c r="C90" t="s">
        <v>569</v>
      </c>
      <c r="D90" t="s">
        <v>175</v>
      </c>
      <c r="E90" t="s">
        <v>570</v>
      </c>
      <c r="F90" t="s">
        <v>571</v>
      </c>
      <c r="G90" t="s">
        <v>572</v>
      </c>
    </row>
    <row r="91" spans="1:7" x14ac:dyDescent="0.3">
      <c r="A91" t="s">
        <v>573</v>
      </c>
      <c r="B91" t="s">
        <v>574</v>
      </c>
      <c r="C91" t="s">
        <v>575</v>
      </c>
      <c r="D91" t="s">
        <v>486</v>
      </c>
      <c r="E91" t="s">
        <v>576</v>
      </c>
      <c r="F91" t="s">
        <v>577</v>
      </c>
      <c r="G91" t="s">
        <v>578</v>
      </c>
    </row>
    <row r="92" spans="1:7" x14ac:dyDescent="0.3">
      <c r="A92" t="s">
        <v>579</v>
      </c>
      <c r="B92" t="s">
        <v>580</v>
      </c>
      <c r="C92" t="s">
        <v>581</v>
      </c>
      <c r="D92" t="s">
        <v>208</v>
      </c>
      <c r="E92" t="s">
        <v>582</v>
      </c>
      <c r="F92" t="s">
        <v>583</v>
      </c>
      <c r="G92" t="s">
        <v>584</v>
      </c>
    </row>
    <row r="93" spans="1:7" x14ac:dyDescent="0.3">
      <c r="A93" t="s">
        <v>585</v>
      </c>
      <c r="B93" t="s">
        <v>585</v>
      </c>
      <c r="C93" t="s">
        <v>586</v>
      </c>
      <c r="D93" t="s">
        <v>43</v>
      </c>
      <c r="E93" t="s">
        <v>587</v>
      </c>
      <c r="F93" t="s">
        <v>588</v>
      </c>
      <c r="G93" t="s">
        <v>589</v>
      </c>
    </row>
    <row r="94" spans="1:7" x14ac:dyDescent="0.3">
      <c r="A94" t="s">
        <v>590</v>
      </c>
      <c r="B94" t="s">
        <v>591</v>
      </c>
      <c r="C94" t="s">
        <v>592</v>
      </c>
      <c r="D94" t="s">
        <v>17</v>
      </c>
      <c r="E94" t="s">
        <v>593</v>
      </c>
      <c r="F94" t="s">
        <v>594</v>
      </c>
      <c r="G94" t="s">
        <v>595</v>
      </c>
    </row>
    <row r="95" spans="1:7" x14ac:dyDescent="0.3">
      <c r="A95" t="s">
        <v>596</v>
      </c>
      <c r="B95" t="s">
        <v>597</v>
      </c>
      <c r="C95" t="s">
        <v>598</v>
      </c>
      <c r="D95" t="s">
        <v>511</v>
      </c>
      <c r="E95" t="s">
        <v>599</v>
      </c>
      <c r="F95" t="s">
        <v>600</v>
      </c>
      <c r="G95" t="s">
        <v>601</v>
      </c>
    </row>
    <row r="96" spans="1:7" x14ac:dyDescent="0.3">
      <c r="A96" t="s">
        <v>602</v>
      </c>
      <c r="B96" t="s">
        <v>603</v>
      </c>
      <c r="C96" t="s">
        <v>604</v>
      </c>
      <c r="D96" t="s">
        <v>605</v>
      </c>
      <c r="E96" t="s">
        <v>606</v>
      </c>
      <c r="F96" t="s">
        <v>607</v>
      </c>
      <c r="G96" t="s">
        <v>608</v>
      </c>
    </row>
    <row r="97" spans="1:7" x14ac:dyDescent="0.3">
      <c r="A97" t="s">
        <v>609</v>
      </c>
      <c r="B97" t="s">
        <v>610</v>
      </c>
      <c r="C97" t="s">
        <v>611</v>
      </c>
      <c r="D97" t="s">
        <v>612</v>
      </c>
      <c r="E97" t="s">
        <v>613</v>
      </c>
      <c r="F97" t="s">
        <v>614</v>
      </c>
      <c r="G97" t="s">
        <v>615</v>
      </c>
    </row>
    <row r="98" spans="1:7" x14ac:dyDescent="0.3">
      <c r="A98" t="s">
        <v>616</v>
      </c>
      <c r="B98" t="s">
        <v>617</v>
      </c>
      <c r="C98" t="s">
        <v>618</v>
      </c>
      <c r="D98" t="s">
        <v>619</v>
      </c>
      <c r="E98" t="s">
        <v>620</v>
      </c>
      <c r="F98" t="s">
        <v>621</v>
      </c>
      <c r="G98" t="s">
        <v>622</v>
      </c>
    </row>
    <row r="99" spans="1:7" x14ac:dyDescent="0.3">
      <c r="A99" t="s">
        <v>623</v>
      </c>
      <c r="B99" t="s">
        <v>624</v>
      </c>
      <c r="C99" t="s">
        <v>625</v>
      </c>
      <c r="D99" t="s">
        <v>626</v>
      </c>
      <c r="E99" t="s">
        <v>627</v>
      </c>
      <c r="F99" t="s">
        <v>628</v>
      </c>
      <c r="G99" t="s">
        <v>629</v>
      </c>
    </row>
    <row r="100" spans="1:7" x14ac:dyDescent="0.3">
      <c r="A100" t="s">
        <v>630</v>
      </c>
      <c r="B100" t="s">
        <v>631</v>
      </c>
      <c r="C100" t="s">
        <v>273</v>
      </c>
      <c r="D100" t="s">
        <v>43</v>
      </c>
      <c r="E100" t="s">
        <v>632</v>
      </c>
      <c r="F100" t="s">
        <v>633</v>
      </c>
      <c r="G100" t="s">
        <v>634</v>
      </c>
    </row>
    <row r="101" spans="1:7" x14ac:dyDescent="0.3">
      <c r="A101" t="s">
        <v>635</v>
      </c>
      <c r="B101" t="s">
        <v>636</v>
      </c>
      <c r="C101" t="s">
        <v>637</v>
      </c>
      <c r="D101" t="s">
        <v>438</v>
      </c>
      <c r="E101" t="s">
        <v>638</v>
      </c>
      <c r="F101" t="s">
        <v>639</v>
      </c>
      <c r="G101" t="s">
        <v>640</v>
      </c>
    </row>
    <row r="102" spans="1:7" x14ac:dyDescent="0.3">
      <c r="A102" t="s">
        <v>641</v>
      </c>
      <c r="B102" t="s">
        <v>642</v>
      </c>
      <c r="C102" t="s">
        <v>643</v>
      </c>
      <c r="D102" t="s">
        <v>31</v>
      </c>
      <c r="E102" t="s">
        <v>644</v>
      </c>
      <c r="F102" t="s">
        <v>645</v>
      </c>
      <c r="G102" t="s">
        <v>646</v>
      </c>
    </row>
    <row r="103" spans="1:7" x14ac:dyDescent="0.3">
      <c r="A103" t="s">
        <v>647</v>
      </c>
      <c r="B103" t="s">
        <v>648</v>
      </c>
      <c r="C103" t="s">
        <v>649</v>
      </c>
      <c r="D103" t="s">
        <v>650</v>
      </c>
      <c r="E103" t="s">
        <v>644</v>
      </c>
      <c r="F103" t="s">
        <v>651</v>
      </c>
      <c r="G103" t="s">
        <v>652</v>
      </c>
    </row>
    <row r="104" spans="1:7" x14ac:dyDescent="0.3">
      <c r="A104" t="s">
        <v>653</v>
      </c>
      <c r="B104" t="s">
        <v>654</v>
      </c>
      <c r="C104" t="s">
        <v>655</v>
      </c>
      <c r="D104" t="s">
        <v>75</v>
      </c>
      <c r="E104" t="s">
        <v>656</v>
      </c>
      <c r="F104" t="s">
        <v>657</v>
      </c>
      <c r="G104" t="s">
        <v>658</v>
      </c>
    </row>
    <row r="105" spans="1:7" x14ac:dyDescent="0.3">
      <c r="A105" t="s">
        <v>659</v>
      </c>
      <c r="B105" t="s">
        <v>660</v>
      </c>
      <c r="C105" t="s">
        <v>661</v>
      </c>
      <c r="D105" t="s">
        <v>662</v>
      </c>
      <c r="E105" t="s">
        <v>663</v>
      </c>
      <c r="F105" t="s">
        <v>664</v>
      </c>
      <c r="G105" t="s">
        <v>665</v>
      </c>
    </row>
    <row r="106" spans="1:7" x14ac:dyDescent="0.3">
      <c r="A106" t="s">
        <v>666</v>
      </c>
      <c r="B106" t="s">
        <v>667</v>
      </c>
      <c r="C106" t="s">
        <v>668</v>
      </c>
      <c r="D106" t="s">
        <v>10</v>
      </c>
      <c r="E106" t="s">
        <v>669</v>
      </c>
      <c r="F106" t="s">
        <v>670</v>
      </c>
      <c r="G106" t="s">
        <v>671</v>
      </c>
    </row>
    <row r="107" spans="1:7" x14ac:dyDescent="0.3">
      <c r="A107" t="s">
        <v>672</v>
      </c>
      <c r="B107" t="s">
        <v>673</v>
      </c>
      <c r="C107" t="s">
        <v>674</v>
      </c>
      <c r="D107" t="s">
        <v>612</v>
      </c>
      <c r="E107" t="s">
        <v>675</v>
      </c>
      <c r="F107" t="s">
        <v>676</v>
      </c>
      <c r="G107" t="s">
        <v>677</v>
      </c>
    </row>
    <row r="108" spans="1:7" x14ac:dyDescent="0.3">
      <c r="A108" t="s">
        <v>678</v>
      </c>
      <c r="B108" t="s">
        <v>679</v>
      </c>
      <c r="C108" t="s">
        <v>680</v>
      </c>
      <c r="D108" t="s">
        <v>350</v>
      </c>
      <c r="E108" t="s">
        <v>681</v>
      </c>
      <c r="F108" t="s">
        <v>682</v>
      </c>
      <c r="G108" t="s">
        <v>683</v>
      </c>
    </row>
    <row r="109" spans="1:7" x14ac:dyDescent="0.3">
      <c r="A109" t="s">
        <v>684</v>
      </c>
      <c r="B109" t="s">
        <v>685</v>
      </c>
      <c r="C109" t="s">
        <v>686</v>
      </c>
      <c r="D109" t="s">
        <v>31</v>
      </c>
      <c r="E109" t="s">
        <v>681</v>
      </c>
      <c r="F109" t="s">
        <v>687</v>
      </c>
      <c r="G109" t="s">
        <v>688</v>
      </c>
    </row>
    <row r="110" spans="1:7" x14ac:dyDescent="0.3">
      <c r="A110" t="s">
        <v>689</v>
      </c>
      <c r="B110" t="s">
        <v>690</v>
      </c>
      <c r="C110" t="s">
        <v>691</v>
      </c>
      <c r="D110" t="s">
        <v>692</v>
      </c>
      <c r="E110" t="s">
        <v>681</v>
      </c>
      <c r="F110" t="s">
        <v>693</v>
      </c>
      <c r="G110" t="s">
        <v>346</v>
      </c>
    </row>
    <row r="111" spans="1:7" x14ac:dyDescent="0.3">
      <c r="A111" t="s">
        <v>694</v>
      </c>
      <c r="B111" t="s">
        <v>694</v>
      </c>
      <c r="C111" t="s">
        <v>695</v>
      </c>
      <c r="D111" t="s">
        <v>696</v>
      </c>
      <c r="E111" t="s">
        <v>697</v>
      </c>
      <c r="F111" t="s">
        <v>698</v>
      </c>
      <c r="G111" t="s">
        <v>699</v>
      </c>
    </row>
    <row r="112" spans="1:7" x14ac:dyDescent="0.3">
      <c r="A112" t="s">
        <v>700</v>
      </c>
      <c r="B112" t="s">
        <v>701</v>
      </c>
      <c r="C112" t="s">
        <v>702</v>
      </c>
      <c r="D112" t="s">
        <v>102</v>
      </c>
      <c r="E112" t="s">
        <v>703</v>
      </c>
      <c r="F112" t="s">
        <v>704</v>
      </c>
      <c r="G112" t="s">
        <v>705</v>
      </c>
    </row>
    <row r="113" spans="1:7" x14ac:dyDescent="0.3">
      <c r="A113" t="s">
        <v>706</v>
      </c>
      <c r="B113" t="s">
        <v>707</v>
      </c>
      <c r="C113" t="s">
        <v>708</v>
      </c>
      <c r="D113" t="s">
        <v>605</v>
      </c>
      <c r="E113" t="s">
        <v>709</v>
      </c>
      <c r="F113" t="s">
        <v>710</v>
      </c>
      <c r="G113" t="s">
        <v>711</v>
      </c>
    </row>
    <row r="114" spans="1:7" x14ac:dyDescent="0.3">
      <c r="A114" t="s">
        <v>712</v>
      </c>
      <c r="B114" t="s">
        <v>713</v>
      </c>
      <c r="C114" t="s">
        <v>714</v>
      </c>
      <c r="D114" t="s">
        <v>715</v>
      </c>
      <c r="E114" t="s">
        <v>716</v>
      </c>
      <c r="F114" t="s">
        <v>717</v>
      </c>
      <c r="G114" t="s">
        <v>718</v>
      </c>
    </row>
    <row r="115" spans="1:7" x14ac:dyDescent="0.3">
      <c r="A115" t="s">
        <v>719</v>
      </c>
      <c r="B115" t="s">
        <v>720</v>
      </c>
      <c r="C115" t="s">
        <v>721</v>
      </c>
      <c r="D115" t="s">
        <v>722</v>
      </c>
      <c r="E115" t="s">
        <v>723</v>
      </c>
      <c r="F115" t="s">
        <v>724</v>
      </c>
      <c r="G115" t="s">
        <v>725</v>
      </c>
    </row>
    <row r="116" spans="1:7" x14ac:dyDescent="0.3">
      <c r="A116" t="s">
        <v>726</v>
      </c>
      <c r="B116" t="s">
        <v>727</v>
      </c>
      <c r="C116" t="s">
        <v>728</v>
      </c>
      <c r="D116" t="s">
        <v>729</v>
      </c>
      <c r="E116" t="s">
        <v>730</v>
      </c>
      <c r="F116" t="s">
        <v>731</v>
      </c>
      <c r="G116" t="s">
        <v>732</v>
      </c>
    </row>
    <row r="117" spans="1:7" x14ac:dyDescent="0.3">
      <c r="A117" t="s">
        <v>733</v>
      </c>
      <c r="B117" t="s">
        <v>734</v>
      </c>
      <c r="C117" t="s">
        <v>735</v>
      </c>
      <c r="D117" t="s">
        <v>715</v>
      </c>
      <c r="E117" t="s">
        <v>736</v>
      </c>
      <c r="F117" t="s">
        <v>737</v>
      </c>
      <c r="G117" t="s">
        <v>738</v>
      </c>
    </row>
    <row r="118" spans="1:7" x14ac:dyDescent="0.3">
      <c r="A118" t="s">
        <v>739</v>
      </c>
      <c r="B118" t="s">
        <v>740</v>
      </c>
      <c r="C118" t="s">
        <v>741</v>
      </c>
      <c r="D118" t="s">
        <v>742</v>
      </c>
      <c r="E118" t="s">
        <v>743</v>
      </c>
      <c r="F118" t="s">
        <v>744</v>
      </c>
      <c r="G118" t="s">
        <v>745</v>
      </c>
    </row>
    <row r="119" spans="1:7" x14ac:dyDescent="0.3">
      <c r="A119" t="s">
        <v>746</v>
      </c>
      <c r="B119" t="s">
        <v>747</v>
      </c>
      <c r="C119" t="s">
        <v>748</v>
      </c>
      <c r="D119" t="s">
        <v>749</v>
      </c>
      <c r="E119" t="s">
        <v>750</v>
      </c>
      <c r="F119" t="s">
        <v>731</v>
      </c>
      <c r="G119" t="s">
        <v>751</v>
      </c>
    </row>
    <row r="120" spans="1:7" x14ac:dyDescent="0.3">
      <c r="A120" t="s">
        <v>752</v>
      </c>
      <c r="B120" t="s">
        <v>753</v>
      </c>
      <c r="C120" t="s">
        <v>754</v>
      </c>
      <c r="D120" t="s">
        <v>122</v>
      </c>
      <c r="E120" t="s">
        <v>755</v>
      </c>
      <c r="F120" t="s">
        <v>756</v>
      </c>
      <c r="G120" t="s">
        <v>757</v>
      </c>
    </row>
    <row r="121" spans="1:7" x14ac:dyDescent="0.3">
      <c r="A121" t="s">
        <v>758</v>
      </c>
      <c r="B121" t="s">
        <v>758</v>
      </c>
      <c r="C121" t="s">
        <v>759</v>
      </c>
      <c r="D121" t="s">
        <v>102</v>
      </c>
      <c r="E121" t="s">
        <v>760</v>
      </c>
      <c r="F121" t="s">
        <v>761</v>
      </c>
      <c r="G121" t="s">
        <v>762</v>
      </c>
    </row>
    <row r="122" spans="1:7" x14ac:dyDescent="0.3">
      <c r="A122" t="s">
        <v>763</v>
      </c>
      <c r="B122" t="s">
        <v>764</v>
      </c>
      <c r="C122" t="s">
        <v>188</v>
      </c>
      <c r="D122" t="s">
        <v>511</v>
      </c>
      <c r="E122" t="s">
        <v>765</v>
      </c>
      <c r="F122" t="s">
        <v>766</v>
      </c>
      <c r="G122" t="s">
        <v>767</v>
      </c>
    </row>
    <row r="123" spans="1:7" x14ac:dyDescent="0.3">
      <c r="A123" t="s">
        <v>768</v>
      </c>
      <c r="B123" t="s">
        <v>769</v>
      </c>
      <c r="C123" t="s">
        <v>770</v>
      </c>
      <c r="D123" t="s">
        <v>771</v>
      </c>
      <c r="E123" t="s">
        <v>765</v>
      </c>
      <c r="F123" t="s">
        <v>772</v>
      </c>
      <c r="G123" t="s">
        <v>773</v>
      </c>
    </row>
    <row r="124" spans="1:7" x14ac:dyDescent="0.3">
      <c r="A124" t="s">
        <v>774</v>
      </c>
      <c r="B124" t="s">
        <v>775</v>
      </c>
      <c r="C124" t="s">
        <v>776</v>
      </c>
      <c r="D124" t="s">
        <v>438</v>
      </c>
      <c r="E124" t="s">
        <v>777</v>
      </c>
      <c r="F124" t="s">
        <v>778</v>
      </c>
      <c r="G124" t="s">
        <v>779</v>
      </c>
    </row>
    <row r="125" spans="1:7" x14ac:dyDescent="0.3">
      <c r="A125" t="s">
        <v>780</v>
      </c>
      <c r="B125" t="s">
        <v>781</v>
      </c>
      <c r="C125" t="s">
        <v>782</v>
      </c>
      <c r="D125" t="s">
        <v>783</v>
      </c>
      <c r="E125" t="s">
        <v>784</v>
      </c>
      <c r="F125" t="s">
        <v>785</v>
      </c>
      <c r="G125" t="s">
        <v>786</v>
      </c>
    </row>
    <row r="126" spans="1:7" x14ac:dyDescent="0.3">
      <c r="A126" t="s">
        <v>787</v>
      </c>
      <c r="B126" t="s">
        <v>788</v>
      </c>
      <c r="C126" t="s">
        <v>789</v>
      </c>
      <c r="D126" t="s">
        <v>31</v>
      </c>
      <c r="E126" t="s">
        <v>790</v>
      </c>
      <c r="F126" t="s">
        <v>791</v>
      </c>
      <c r="G126" t="s">
        <v>792</v>
      </c>
    </row>
    <row r="127" spans="1:7" x14ac:dyDescent="0.3">
      <c r="A127" t="s">
        <v>793</v>
      </c>
      <c r="B127" t="s">
        <v>794</v>
      </c>
      <c r="C127" t="s">
        <v>795</v>
      </c>
      <c r="D127" t="s">
        <v>796</v>
      </c>
      <c r="E127" t="s">
        <v>797</v>
      </c>
      <c r="F127" t="s">
        <v>131</v>
      </c>
      <c r="G127" t="s">
        <v>798</v>
      </c>
    </row>
    <row r="128" spans="1:7" x14ac:dyDescent="0.3">
      <c r="A128" t="s">
        <v>799</v>
      </c>
      <c r="B128" t="s">
        <v>800</v>
      </c>
      <c r="C128" t="s">
        <v>801</v>
      </c>
      <c r="D128" t="s">
        <v>802</v>
      </c>
      <c r="E128" t="s">
        <v>803</v>
      </c>
      <c r="F128" t="s">
        <v>804</v>
      </c>
      <c r="G128" t="s">
        <v>805</v>
      </c>
    </row>
    <row r="129" spans="1:7" x14ac:dyDescent="0.3">
      <c r="A129" t="s">
        <v>806</v>
      </c>
      <c r="B129" t="s">
        <v>806</v>
      </c>
      <c r="C129" t="s">
        <v>807</v>
      </c>
      <c r="D129" t="s">
        <v>43</v>
      </c>
      <c r="E129" t="s">
        <v>808</v>
      </c>
      <c r="F129" t="s">
        <v>269</v>
      </c>
      <c r="G129" t="s">
        <v>809</v>
      </c>
    </row>
    <row r="130" spans="1:7" x14ac:dyDescent="0.3">
      <c r="A130" t="s">
        <v>810</v>
      </c>
      <c r="B130" t="s">
        <v>811</v>
      </c>
      <c r="C130" t="s">
        <v>812</v>
      </c>
      <c r="D130" t="s">
        <v>68</v>
      </c>
      <c r="E130" t="s">
        <v>813</v>
      </c>
      <c r="F130" t="s">
        <v>814</v>
      </c>
      <c r="G130" t="s">
        <v>815</v>
      </c>
    </row>
    <row r="131" spans="1:7" x14ac:dyDescent="0.3">
      <c r="A131" t="s">
        <v>816</v>
      </c>
      <c r="B131" t="s">
        <v>817</v>
      </c>
      <c r="C131" t="s">
        <v>818</v>
      </c>
      <c r="D131" t="s">
        <v>43</v>
      </c>
      <c r="E131" t="s">
        <v>819</v>
      </c>
      <c r="F131" t="s">
        <v>269</v>
      </c>
      <c r="G131" t="s">
        <v>820</v>
      </c>
    </row>
    <row r="132" spans="1:7" x14ac:dyDescent="0.3">
      <c r="A132" t="s">
        <v>821</v>
      </c>
      <c r="B132" t="s">
        <v>821</v>
      </c>
      <c r="C132" t="s">
        <v>822</v>
      </c>
      <c r="D132" t="s">
        <v>31</v>
      </c>
      <c r="E132" t="s">
        <v>823</v>
      </c>
      <c r="F132" t="s">
        <v>824</v>
      </c>
      <c r="G132" t="s">
        <v>825</v>
      </c>
    </row>
    <row r="133" spans="1:7" x14ac:dyDescent="0.3">
      <c r="A133" t="s">
        <v>826</v>
      </c>
      <c r="B133" t="s">
        <v>827</v>
      </c>
      <c r="C133" t="s">
        <v>828</v>
      </c>
      <c r="D133" t="s">
        <v>122</v>
      </c>
      <c r="E133" t="s">
        <v>829</v>
      </c>
      <c r="F133" t="s">
        <v>830</v>
      </c>
      <c r="G133" t="s">
        <v>831</v>
      </c>
    </row>
    <row r="134" spans="1:7" x14ac:dyDescent="0.3">
      <c r="A134" t="s">
        <v>832</v>
      </c>
      <c r="B134" t="s">
        <v>833</v>
      </c>
      <c r="C134" t="s">
        <v>834</v>
      </c>
      <c r="D134" t="s">
        <v>835</v>
      </c>
      <c r="E134" t="s">
        <v>829</v>
      </c>
      <c r="F134" t="s">
        <v>836</v>
      </c>
      <c r="G134" t="s">
        <v>837</v>
      </c>
    </row>
    <row r="135" spans="1:7" x14ac:dyDescent="0.3">
      <c r="A135" t="s">
        <v>838</v>
      </c>
      <c r="B135" t="s">
        <v>839</v>
      </c>
      <c r="C135" t="s">
        <v>840</v>
      </c>
      <c r="D135" t="s">
        <v>511</v>
      </c>
      <c r="E135" t="s">
        <v>829</v>
      </c>
      <c r="F135" t="s">
        <v>841</v>
      </c>
      <c r="G135" t="s">
        <v>482</v>
      </c>
    </row>
    <row r="136" spans="1:7" x14ac:dyDescent="0.3">
      <c r="A136" t="s">
        <v>842</v>
      </c>
      <c r="B136" t="s">
        <v>843</v>
      </c>
      <c r="C136" t="s">
        <v>844</v>
      </c>
      <c r="D136" t="s">
        <v>31</v>
      </c>
      <c r="E136" t="s">
        <v>845</v>
      </c>
      <c r="F136" t="s">
        <v>846</v>
      </c>
      <c r="G136" t="s">
        <v>847</v>
      </c>
    </row>
    <row r="137" spans="1:7" x14ac:dyDescent="0.3">
      <c r="A137" t="s">
        <v>848</v>
      </c>
      <c r="B137" t="s">
        <v>849</v>
      </c>
      <c r="C137" t="s">
        <v>850</v>
      </c>
      <c r="D137" t="s">
        <v>208</v>
      </c>
      <c r="E137" t="s">
        <v>851</v>
      </c>
      <c r="F137" t="s">
        <v>852</v>
      </c>
      <c r="G137" t="s">
        <v>853</v>
      </c>
    </row>
    <row r="138" spans="1:7" x14ac:dyDescent="0.3">
      <c r="A138" t="s">
        <v>854</v>
      </c>
      <c r="B138" t="s">
        <v>854</v>
      </c>
      <c r="C138" t="s">
        <v>855</v>
      </c>
      <c r="D138" t="s">
        <v>856</v>
      </c>
      <c r="E138" t="s">
        <v>857</v>
      </c>
      <c r="F138" t="s">
        <v>858</v>
      </c>
      <c r="G138" t="s">
        <v>859</v>
      </c>
    </row>
    <row r="139" spans="1:7" x14ac:dyDescent="0.3">
      <c r="A139" t="s">
        <v>860</v>
      </c>
      <c r="B139" t="s">
        <v>861</v>
      </c>
      <c r="C139" t="s">
        <v>862</v>
      </c>
      <c r="D139" t="s">
        <v>49</v>
      </c>
      <c r="E139" t="s">
        <v>863</v>
      </c>
      <c r="F139" t="s">
        <v>864</v>
      </c>
      <c r="G139" t="s">
        <v>865</v>
      </c>
    </row>
    <row r="140" spans="1:7" x14ac:dyDescent="0.3">
      <c r="A140" t="s">
        <v>866</v>
      </c>
      <c r="B140" t="s">
        <v>867</v>
      </c>
      <c r="C140" t="s">
        <v>868</v>
      </c>
      <c r="D140" t="s">
        <v>88</v>
      </c>
      <c r="E140" t="s">
        <v>869</v>
      </c>
      <c r="F140" t="s">
        <v>870</v>
      </c>
      <c r="G140" t="s">
        <v>688</v>
      </c>
    </row>
    <row r="141" spans="1:7" x14ac:dyDescent="0.3">
      <c r="A141" t="s">
        <v>871</v>
      </c>
      <c r="B141" t="s">
        <v>872</v>
      </c>
      <c r="C141" t="s">
        <v>873</v>
      </c>
      <c r="D141" t="s">
        <v>49</v>
      </c>
      <c r="E141" t="s">
        <v>874</v>
      </c>
      <c r="F141" t="s">
        <v>875</v>
      </c>
      <c r="G141" t="s">
        <v>876</v>
      </c>
    </row>
    <row r="142" spans="1:7" x14ac:dyDescent="0.3">
      <c r="A142" t="s">
        <v>877</v>
      </c>
      <c r="B142" t="s">
        <v>878</v>
      </c>
      <c r="C142" t="s">
        <v>879</v>
      </c>
      <c r="D142" t="s">
        <v>880</v>
      </c>
      <c r="E142" t="s">
        <v>874</v>
      </c>
      <c r="F142" t="s">
        <v>881</v>
      </c>
      <c r="G142" t="s">
        <v>326</v>
      </c>
    </row>
    <row r="143" spans="1:7" x14ac:dyDescent="0.3">
      <c r="A143" t="s">
        <v>882</v>
      </c>
      <c r="B143" t="s">
        <v>883</v>
      </c>
      <c r="C143" t="s">
        <v>884</v>
      </c>
      <c r="D143" t="s">
        <v>885</v>
      </c>
      <c r="E143" t="s">
        <v>874</v>
      </c>
      <c r="F143" t="s">
        <v>886</v>
      </c>
      <c r="G143" t="s">
        <v>887</v>
      </c>
    </row>
    <row r="144" spans="1:7" x14ac:dyDescent="0.3">
      <c r="A144" t="s">
        <v>888</v>
      </c>
      <c r="B144" t="s">
        <v>889</v>
      </c>
      <c r="C144" t="s">
        <v>890</v>
      </c>
      <c r="D144" t="s">
        <v>102</v>
      </c>
      <c r="E144" t="s">
        <v>891</v>
      </c>
      <c r="F144" t="s">
        <v>892</v>
      </c>
      <c r="G144" t="s">
        <v>893</v>
      </c>
    </row>
    <row r="145" spans="1:7" x14ac:dyDescent="0.3">
      <c r="A145" t="s">
        <v>894</v>
      </c>
      <c r="B145" t="s">
        <v>895</v>
      </c>
      <c r="C145" t="s">
        <v>896</v>
      </c>
      <c r="D145" t="s">
        <v>897</v>
      </c>
      <c r="E145" t="s">
        <v>898</v>
      </c>
      <c r="F145" t="s">
        <v>899</v>
      </c>
      <c r="G145" t="s">
        <v>900</v>
      </c>
    </row>
    <row r="146" spans="1:7" x14ac:dyDescent="0.3">
      <c r="A146" t="s">
        <v>901</v>
      </c>
      <c r="B146" t="s">
        <v>902</v>
      </c>
      <c r="C146" t="s">
        <v>903</v>
      </c>
      <c r="D146" t="s">
        <v>904</v>
      </c>
      <c r="E146" t="s">
        <v>905</v>
      </c>
      <c r="F146" t="s">
        <v>906</v>
      </c>
      <c r="G146" t="s">
        <v>907</v>
      </c>
    </row>
    <row r="147" spans="1:7" x14ac:dyDescent="0.3">
      <c r="A147" t="s">
        <v>908</v>
      </c>
      <c r="B147" t="s">
        <v>909</v>
      </c>
      <c r="C147" t="s">
        <v>910</v>
      </c>
      <c r="D147" t="s">
        <v>715</v>
      </c>
      <c r="E147" t="s">
        <v>911</v>
      </c>
      <c r="F147" t="s">
        <v>912</v>
      </c>
      <c r="G147" t="s">
        <v>913</v>
      </c>
    </row>
    <row r="148" spans="1:7" x14ac:dyDescent="0.3">
      <c r="A148" t="s">
        <v>914</v>
      </c>
      <c r="B148" t="s">
        <v>915</v>
      </c>
      <c r="C148" t="s">
        <v>916</v>
      </c>
      <c r="D148" t="s">
        <v>10</v>
      </c>
      <c r="E148" t="s">
        <v>917</v>
      </c>
      <c r="F148" t="s">
        <v>918</v>
      </c>
      <c r="G148" t="s">
        <v>919</v>
      </c>
    </row>
    <row r="149" spans="1:7" x14ac:dyDescent="0.3">
      <c r="A149" t="s">
        <v>920</v>
      </c>
      <c r="B149" t="s">
        <v>921</v>
      </c>
      <c r="C149" t="s">
        <v>922</v>
      </c>
      <c r="D149" t="s">
        <v>115</v>
      </c>
      <c r="E149" t="s">
        <v>917</v>
      </c>
      <c r="F149" t="s">
        <v>923</v>
      </c>
      <c r="G149" t="s">
        <v>924</v>
      </c>
    </row>
    <row r="150" spans="1:7" x14ac:dyDescent="0.3">
      <c r="A150" t="s">
        <v>925</v>
      </c>
      <c r="B150" t="s">
        <v>926</v>
      </c>
      <c r="C150" t="s">
        <v>927</v>
      </c>
      <c r="D150" t="s">
        <v>504</v>
      </c>
      <c r="E150" t="s">
        <v>917</v>
      </c>
      <c r="F150" t="s">
        <v>928</v>
      </c>
      <c r="G150" t="s">
        <v>929</v>
      </c>
    </row>
    <row r="151" spans="1:7" x14ac:dyDescent="0.3">
      <c r="A151" t="s">
        <v>930</v>
      </c>
      <c r="B151" t="s">
        <v>931</v>
      </c>
      <c r="C151" t="s">
        <v>932</v>
      </c>
      <c r="D151" t="s">
        <v>933</v>
      </c>
      <c r="E151" t="s">
        <v>934</v>
      </c>
      <c r="F151" t="s">
        <v>935</v>
      </c>
      <c r="G151" t="s">
        <v>936</v>
      </c>
    </row>
    <row r="152" spans="1:7" x14ac:dyDescent="0.3">
      <c r="A152" t="s">
        <v>937</v>
      </c>
      <c r="B152" t="s">
        <v>938</v>
      </c>
      <c r="C152" t="s">
        <v>939</v>
      </c>
      <c r="D152" t="s">
        <v>729</v>
      </c>
      <c r="E152" t="s">
        <v>940</v>
      </c>
      <c r="F152" t="s">
        <v>941</v>
      </c>
      <c r="G152" t="s">
        <v>942</v>
      </c>
    </row>
    <row r="153" spans="1:7" x14ac:dyDescent="0.3">
      <c r="A153" t="s">
        <v>943</v>
      </c>
      <c r="B153" t="s">
        <v>944</v>
      </c>
      <c r="C153" t="s">
        <v>945</v>
      </c>
      <c r="D153" t="s">
        <v>946</v>
      </c>
      <c r="E153" t="s">
        <v>947</v>
      </c>
      <c r="F153" t="s">
        <v>948</v>
      </c>
      <c r="G153" t="s">
        <v>949</v>
      </c>
    </row>
    <row r="154" spans="1:7" x14ac:dyDescent="0.3">
      <c r="A154" t="s">
        <v>950</v>
      </c>
      <c r="B154" t="s">
        <v>951</v>
      </c>
      <c r="C154" t="s">
        <v>952</v>
      </c>
      <c r="D154" t="s">
        <v>31</v>
      </c>
      <c r="E154" t="s">
        <v>953</v>
      </c>
      <c r="F154" t="s">
        <v>954</v>
      </c>
      <c r="G154" t="s">
        <v>955</v>
      </c>
    </row>
    <row r="155" spans="1:7" x14ac:dyDescent="0.3">
      <c r="A155" t="s">
        <v>956</v>
      </c>
      <c r="B155" t="s">
        <v>956</v>
      </c>
      <c r="C155" t="s">
        <v>957</v>
      </c>
      <c r="D155" t="s">
        <v>10</v>
      </c>
      <c r="E155" t="s">
        <v>958</v>
      </c>
      <c r="F155" t="s">
        <v>959</v>
      </c>
      <c r="G155" t="s">
        <v>960</v>
      </c>
    </row>
    <row r="156" spans="1:7" x14ac:dyDescent="0.3">
      <c r="A156" t="s">
        <v>961</v>
      </c>
      <c r="B156" t="s">
        <v>962</v>
      </c>
      <c r="C156" t="s">
        <v>963</v>
      </c>
      <c r="D156" t="s">
        <v>136</v>
      </c>
      <c r="E156" t="s">
        <v>964</v>
      </c>
      <c r="F156" t="s">
        <v>965</v>
      </c>
      <c r="G156" t="s">
        <v>966</v>
      </c>
    </row>
    <row r="157" spans="1:7" x14ac:dyDescent="0.3">
      <c r="A157" t="s">
        <v>967</v>
      </c>
      <c r="B157" t="s">
        <v>968</v>
      </c>
      <c r="C157" t="s">
        <v>969</v>
      </c>
      <c r="D157" t="s">
        <v>225</v>
      </c>
      <c r="E157" t="s">
        <v>970</v>
      </c>
      <c r="F157" t="s">
        <v>971</v>
      </c>
      <c r="G157" t="s">
        <v>972</v>
      </c>
    </row>
    <row r="158" spans="1:7" x14ac:dyDescent="0.3">
      <c r="A158" t="s">
        <v>973</v>
      </c>
      <c r="B158" t="s">
        <v>974</v>
      </c>
      <c r="C158" t="s">
        <v>975</v>
      </c>
      <c r="D158" t="s">
        <v>771</v>
      </c>
      <c r="E158" t="s">
        <v>976</v>
      </c>
      <c r="F158" t="s">
        <v>977</v>
      </c>
      <c r="G158" t="s">
        <v>978</v>
      </c>
    </row>
    <row r="159" spans="1:7" x14ac:dyDescent="0.3">
      <c r="A159" t="s">
        <v>979</v>
      </c>
      <c r="B159" t="s">
        <v>980</v>
      </c>
      <c r="C159" t="s">
        <v>981</v>
      </c>
      <c r="D159" t="s">
        <v>982</v>
      </c>
      <c r="E159" t="s">
        <v>983</v>
      </c>
      <c r="F159" t="s">
        <v>984</v>
      </c>
      <c r="G159" t="s">
        <v>985</v>
      </c>
    </row>
    <row r="160" spans="1:7" x14ac:dyDescent="0.3">
      <c r="A160" t="s">
        <v>986</v>
      </c>
      <c r="B160" t="s">
        <v>987</v>
      </c>
      <c r="C160" t="s">
        <v>988</v>
      </c>
      <c r="D160" t="s">
        <v>225</v>
      </c>
      <c r="E160" t="s">
        <v>989</v>
      </c>
      <c r="F160" t="s">
        <v>990</v>
      </c>
      <c r="G160" t="s">
        <v>991</v>
      </c>
    </row>
    <row r="161" spans="1:7" x14ac:dyDescent="0.3">
      <c r="A161" t="s">
        <v>992</v>
      </c>
      <c r="B161" t="s">
        <v>993</v>
      </c>
      <c r="C161" t="s">
        <v>994</v>
      </c>
      <c r="D161" t="s">
        <v>995</v>
      </c>
      <c r="E161" t="s">
        <v>989</v>
      </c>
      <c r="F161" t="s">
        <v>996</v>
      </c>
      <c r="G161" t="s">
        <v>997</v>
      </c>
    </row>
    <row r="162" spans="1:7" x14ac:dyDescent="0.3">
      <c r="A162" t="s">
        <v>998</v>
      </c>
      <c r="B162" t="s">
        <v>999</v>
      </c>
      <c r="C162" t="s">
        <v>1000</v>
      </c>
      <c r="D162" t="s">
        <v>626</v>
      </c>
      <c r="E162" t="s">
        <v>1001</v>
      </c>
      <c r="F162" t="s">
        <v>383</v>
      </c>
      <c r="G162" t="s">
        <v>1002</v>
      </c>
    </row>
    <row r="163" spans="1:7" x14ac:dyDescent="0.3">
      <c r="A163" t="s">
        <v>1003</v>
      </c>
      <c r="B163" t="s">
        <v>1004</v>
      </c>
      <c r="C163" t="s">
        <v>1005</v>
      </c>
      <c r="D163" t="s">
        <v>168</v>
      </c>
      <c r="E163" t="s">
        <v>1006</v>
      </c>
      <c r="F163" t="s">
        <v>1007</v>
      </c>
      <c r="G163" t="s">
        <v>1008</v>
      </c>
    </row>
    <row r="164" spans="1:7" x14ac:dyDescent="0.3">
      <c r="A164" t="s">
        <v>1009</v>
      </c>
      <c r="B164" t="s">
        <v>1010</v>
      </c>
      <c r="C164" t="s">
        <v>1011</v>
      </c>
      <c r="D164" t="s">
        <v>511</v>
      </c>
      <c r="E164" t="s">
        <v>1012</v>
      </c>
      <c r="F164" t="s">
        <v>1013</v>
      </c>
      <c r="G164" t="s">
        <v>1014</v>
      </c>
    </row>
    <row r="165" spans="1:7" x14ac:dyDescent="0.3">
      <c r="A165" t="s">
        <v>1015</v>
      </c>
      <c r="B165" t="s">
        <v>1016</v>
      </c>
      <c r="C165" t="s">
        <v>1017</v>
      </c>
      <c r="D165" t="s">
        <v>31</v>
      </c>
      <c r="E165" t="s">
        <v>1018</v>
      </c>
      <c r="F165" t="s">
        <v>269</v>
      </c>
      <c r="G165" t="s">
        <v>1019</v>
      </c>
    </row>
    <row r="166" spans="1:7" x14ac:dyDescent="0.3">
      <c r="A166" t="s">
        <v>1020</v>
      </c>
      <c r="B166" t="s">
        <v>1021</v>
      </c>
      <c r="C166" t="s">
        <v>1022</v>
      </c>
      <c r="D166" t="s">
        <v>1023</v>
      </c>
      <c r="E166" t="s">
        <v>1018</v>
      </c>
      <c r="F166" t="s">
        <v>1024</v>
      </c>
      <c r="G166" t="s">
        <v>1025</v>
      </c>
    </row>
    <row r="167" spans="1:7" x14ac:dyDescent="0.3">
      <c r="A167" t="s">
        <v>1026</v>
      </c>
      <c r="B167" t="s">
        <v>1027</v>
      </c>
      <c r="C167" t="s">
        <v>1028</v>
      </c>
      <c r="D167" t="s">
        <v>1029</v>
      </c>
      <c r="E167" t="s">
        <v>1030</v>
      </c>
      <c r="F167" t="s">
        <v>1031</v>
      </c>
      <c r="G167" t="s">
        <v>1032</v>
      </c>
    </row>
    <row r="168" spans="1:7" x14ac:dyDescent="0.3">
      <c r="A168" t="s">
        <v>1033</v>
      </c>
      <c r="B168" t="s">
        <v>1034</v>
      </c>
      <c r="C168" t="s">
        <v>1035</v>
      </c>
      <c r="D168" t="s">
        <v>31</v>
      </c>
      <c r="E168" t="s">
        <v>1036</v>
      </c>
      <c r="F168" t="s">
        <v>1037</v>
      </c>
      <c r="G168" t="s">
        <v>1038</v>
      </c>
    </row>
    <row r="169" spans="1:7" x14ac:dyDescent="0.3">
      <c r="A169" t="s">
        <v>1039</v>
      </c>
      <c r="B169" t="s">
        <v>1040</v>
      </c>
      <c r="C169" t="s">
        <v>1041</v>
      </c>
      <c r="D169" t="s">
        <v>323</v>
      </c>
      <c r="E169" t="s">
        <v>1042</v>
      </c>
      <c r="F169" t="s">
        <v>1043</v>
      </c>
      <c r="G169" t="s">
        <v>1044</v>
      </c>
    </row>
    <row r="170" spans="1:7" x14ac:dyDescent="0.3">
      <c r="A170" t="s">
        <v>1045</v>
      </c>
      <c r="B170" t="s">
        <v>1046</v>
      </c>
      <c r="C170" t="s">
        <v>1047</v>
      </c>
      <c r="D170" t="s">
        <v>43</v>
      </c>
      <c r="E170" t="s">
        <v>1042</v>
      </c>
      <c r="F170" t="s">
        <v>269</v>
      </c>
      <c r="G170" t="s">
        <v>1048</v>
      </c>
    </row>
    <row r="171" spans="1:7" x14ac:dyDescent="0.3">
      <c r="A171" t="s">
        <v>1049</v>
      </c>
      <c r="B171" t="s">
        <v>1050</v>
      </c>
      <c r="C171" t="s">
        <v>1051</v>
      </c>
      <c r="D171" t="s">
        <v>715</v>
      </c>
      <c r="E171" t="s">
        <v>1042</v>
      </c>
      <c r="F171" t="s">
        <v>1052</v>
      </c>
      <c r="G171" t="s">
        <v>1053</v>
      </c>
    </row>
    <row r="172" spans="1:7" x14ac:dyDescent="0.3">
      <c r="A172" t="s">
        <v>1054</v>
      </c>
      <c r="B172" t="s">
        <v>1055</v>
      </c>
      <c r="C172" t="s">
        <v>1056</v>
      </c>
      <c r="D172" t="s">
        <v>161</v>
      </c>
      <c r="E172" t="s">
        <v>1057</v>
      </c>
      <c r="F172" t="s">
        <v>1058</v>
      </c>
      <c r="G172" t="s">
        <v>1059</v>
      </c>
    </row>
    <row r="173" spans="1:7" x14ac:dyDescent="0.3">
      <c r="A173" t="s">
        <v>1060</v>
      </c>
      <c r="B173" t="s">
        <v>1061</v>
      </c>
      <c r="C173" t="s">
        <v>1062</v>
      </c>
      <c r="D173" t="s">
        <v>1063</v>
      </c>
      <c r="E173" t="s">
        <v>1064</v>
      </c>
      <c r="F173" t="s">
        <v>1065</v>
      </c>
      <c r="G173" t="s">
        <v>1066</v>
      </c>
    </row>
    <row r="174" spans="1:7" x14ac:dyDescent="0.3">
      <c r="A174" t="s">
        <v>1067</v>
      </c>
      <c r="B174" t="s">
        <v>1068</v>
      </c>
      <c r="C174" t="s">
        <v>1069</v>
      </c>
      <c r="D174" t="s">
        <v>1070</v>
      </c>
      <c r="E174" t="s">
        <v>1064</v>
      </c>
      <c r="F174" t="s">
        <v>1071</v>
      </c>
      <c r="G174" t="s">
        <v>1072</v>
      </c>
    </row>
    <row r="175" spans="1:7" x14ac:dyDescent="0.3">
      <c r="A175" t="s">
        <v>1073</v>
      </c>
      <c r="B175" t="s">
        <v>1074</v>
      </c>
      <c r="C175" t="s">
        <v>1075</v>
      </c>
      <c r="D175" t="s">
        <v>1076</v>
      </c>
      <c r="E175" t="s">
        <v>1077</v>
      </c>
      <c r="F175" t="s">
        <v>1078</v>
      </c>
      <c r="G175" t="s">
        <v>1079</v>
      </c>
    </row>
    <row r="176" spans="1:7" x14ac:dyDescent="0.3">
      <c r="A176" t="s">
        <v>1080</v>
      </c>
      <c r="B176" t="s">
        <v>1081</v>
      </c>
      <c r="C176" t="s">
        <v>1082</v>
      </c>
      <c r="D176" t="s">
        <v>43</v>
      </c>
      <c r="E176" t="s">
        <v>1083</v>
      </c>
      <c r="F176" t="s">
        <v>269</v>
      </c>
      <c r="G176" t="s">
        <v>1084</v>
      </c>
    </row>
    <row r="177" spans="1:7" x14ac:dyDescent="0.3">
      <c r="A177" t="s">
        <v>1085</v>
      </c>
      <c r="B177" t="s">
        <v>1086</v>
      </c>
      <c r="C177" t="s">
        <v>1087</v>
      </c>
      <c r="D177" t="s">
        <v>749</v>
      </c>
      <c r="E177" t="s">
        <v>1088</v>
      </c>
      <c r="F177" t="s">
        <v>1089</v>
      </c>
      <c r="G177" t="s">
        <v>1090</v>
      </c>
    </row>
    <row r="178" spans="1:7" x14ac:dyDescent="0.3">
      <c r="A178" t="s">
        <v>1091</v>
      </c>
      <c r="B178" t="s">
        <v>1092</v>
      </c>
      <c r="C178" t="s">
        <v>1093</v>
      </c>
      <c r="D178" t="s">
        <v>102</v>
      </c>
      <c r="E178" t="s">
        <v>1094</v>
      </c>
      <c r="F178" t="s">
        <v>1095</v>
      </c>
      <c r="G178" t="s">
        <v>1096</v>
      </c>
    </row>
    <row r="179" spans="1:7" x14ac:dyDescent="0.3">
      <c r="A179" t="s">
        <v>1097</v>
      </c>
      <c r="B179" t="s">
        <v>1098</v>
      </c>
      <c r="C179" t="s">
        <v>1099</v>
      </c>
      <c r="D179" t="s">
        <v>43</v>
      </c>
      <c r="E179" t="s">
        <v>1094</v>
      </c>
      <c r="F179" t="s">
        <v>1100</v>
      </c>
      <c r="G179" t="s">
        <v>1101</v>
      </c>
    </row>
    <row r="180" spans="1:7" x14ac:dyDescent="0.3">
      <c r="A180" t="s">
        <v>1102</v>
      </c>
      <c r="B180" t="s">
        <v>1102</v>
      </c>
      <c r="C180" t="s">
        <v>1103</v>
      </c>
      <c r="D180" t="s">
        <v>511</v>
      </c>
      <c r="E180" t="s">
        <v>1104</v>
      </c>
      <c r="F180" t="s">
        <v>1105</v>
      </c>
      <c r="G180" t="s">
        <v>1106</v>
      </c>
    </row>
    <row r="181" spans="1:7" x14ac:dyDescent="0.3">
      <c r="A181" t="s">
        <v>1107</v>
      </c>
      <c r="B181" t="s">
        <v>1108</v>
      </c>
      <c r="C181" t="s">
        <v>1109</v>
      </c>
      <c r="D181" t="s">
        <v>24</v>
      </c>
      <c r="E181" t="s">
        <v>1104</v>
      </c>
      <c r="F181" t="s">
        <v>1110</v>
      </c>
      <c r="G181" t="s">
        <v>482</v>
      </c>
    </row>
    <row r="182" spans="1:7" x14ac:dyDescent="0.3">
      <c r="A182" t="s">
        <v>1111</v>
      </c>
      <c r="B182" t="s">
        <v>1112</v>
      </c>
      <c r="C182" t="s">
        <v>1113</v>
      </c>
      <c r="D182" t="s">
        <v>1114</v>
      </c>
      <c r="E182" t="s">
        <v>1115</v>
      </c>
      <c r="F182" t="s">
        <v>1116</v>
      </c>
      <c r="G182" t="s">
        <v>1117</v>
      </c>
    </row>
    <row r="183" spans="1:7" x14ac:dyDescent="0.3">
      <c r="A183" t="s">
        <v>1118</v>
      </c>
      <c r="B183" t="s">
        <v>1119</v>
      </c>
      <c r="C183" t="s">
        <v>1120</v>
      </c>
      <c r="D183" t="s">
        <v>1121</v>
      </c>
      <c r="E183" t="s">
        <v>1122</v>
      </c>
      <c r="F183" t="s">
        <v>1123</v>
      </c>
      <c r="G183" t="s">
        <v>1124</v>
      </c>
    </row>
    <row r="184" spans="1:7" x14ac:dyDescent="0.3">
      <c r="A184" t="s">
        <v>1125</v>
      </c>
      <c r="B184" t="s">
        <v>1126</v>
      </c>
      <c r="C184" t="s">
        <v>1127</v>
      </c>
      <c r="D184" t="s">
        <v>323</v>
      </c>
      <c r="E184" t="s">
        <v>1128</v>
      </c>
      <c r="F184" t="s">
        <v>766</v>
      </c>
      <c r="G184" t="s">
        <v>1129</v>
      </c>
    </row>
    <row r="185" spans="1:7" x14ac:dyDescent="0.3">
      <c r="A185" t="s">
        <v>1130</v>
      </c>
      <c r="B185" t="s">
        <v>1131</v>
      </c>
      <c r="C185" t="s">
        <v>1132</v>
      </c>
      <c r="D185" t="s">
        <v>1133</v>
      </c>
      <c r="E185" t="s">
        <v>1134</v>
      </c>
      <c r="F185" t="s">
        <v>1135</v>
      </c>
      <c r="G185" t="s">
        <v>1136</v>
      </c>
    </row>
    <row r="186" spans="1:7" x14ac:dyDescent="0.3">
      <c r="A186" t="s">
        <v>1137</v>
      </c>
      <c r="B186" t="s">
        <v>1138</v>
      </c>
      <c r="C186" t="s">
        <v>1139</v>
      </c>
      <c r="D186" t="s">
        <v>43</v>
      </c>
      <c r="E186" t="s">
        <v>1140</v>
      </c>
      <c r="F186" t="s">
        <v>269</v>
      </c>
      <c r="G186" t="s">
        <v>1141</v>
      </c>
    </row>
    <row r="187" spans="1:7" x14ac:dyDescent="0.3">
      <c r="A187" t="s">
        <v>1142</v>
      </c>
      <c r="B187" t="s">
        <v>1143</v>
      </c>
      <c r="C187" t="s">
        <v>1144</v>
      </c>
      <c r="D187" t="s">
        <v>1145</v>
      </c>
      <c r="E187" t="s">
        <v>1146</v>
      </c>
      <c r="F187" t="s">
        <v>1147</v>
      </c>
      <c r="G187" t="s">
        <v>1148</v>
      </c>
    </row>
    <row r="188" spans="1:7" x14ac:dyDescent="0.3">
      <c r="A188" t="s">
        <v>1149</v>
      </c>
      <c r="B188" t="s">
        <v>1150</v>
      </c>
      <c r="C188" t="s">
        <v>1151</v>
      </c>
      <c r="D188" t="s">
        <v>1152</v>
      </c>
      <c r="E188" t="s">
        <v>1153</v>
      </c>
      <c r="F188" t="s">
        <v>1154</v>
      </c>
      <c r="G188" t="s">
        <v>1155</v>
      </c>
    </row>
    <row r="189" spans="1:7" x14ac:dyDescent="0.3">
      <c r="A189" t="s">
        <v>1156</v>
      </c>
      <c r="B189" t="s">
        <v>1157</v>
      </c>
      <c r="C189" t="s">
        <v>1158</v>
      </c>
      <c r="D189" t="s">
        <v>17</v>
      </c>
      <c r="E189" t="s">
        <v>1159</v>
      </c>
      <c r="F189" t="s">
        <v>1160</v>
      </c>
      <c r="G189" t="s">
        <v>1161</v>
      </c>
    </row>
    <row r="190" spans="1:7" x14ac:dyDescent="0.3">
      <c r="A190" t="s">
        <v>1162</v>
      </c>
      <c r="B190" t="s">
        <v>1163</v>
      </c>
      <c r="C190" t="s">
        <v>1164</v>
      </c>
      <c r="D190" t="s">
        <v>43</v>
      </c>
      <c r="E190" t="s">
        <v>1165</v>
      </c>
      <c r="F190" t="s">
        <v>269</v>
      </c>
      <c r="G190" t="s">
        <v>1166</v>
      </c>
    </row>
    <row r="191" spans="1:7" x14ac:dyDescent="0.3">
      <c r="A191" t="s">
        <v>1167</v>
      </c>
      <c r="B191" t="s">
        <v>1168</v>
      </c>
      <c r="C191" t="s">
        <v>1169</v>
      </c>
      <c r="D191" t="s">
        <v>225</v>
      </c>
      <c r="E191" t="s">
        <v>1170</v>
      </c>
      <c r="F191" t="s">
        <v>1171</v>
      </c>
      <c r="G191" t="s">
        <v>1172</v>
      </c>
    </row>
    <row r="192" spans="1:7" x14ac:dyDescent="0.3">
      <c r="A192" t="s">
        <v>1173</v>
      </c>
      <c r="B192" t="s">
        <v>1174</v>
      </c>
      <c r="C192" t="s">
        <v>1175</v>
      </c>
      <c r="D192" t="s">
        <v>49</v>
      </c>
      <c r="E192" t="s">
        <v>1170</v>
      </c>
      <c r="F192" t="s">
        <v>1176</v>
      </c>
      <c r="G192" t="s">
        <v>1177</v>
      </c>
    </row>
    <row r="193" spans="1:7" x14ac:dyDescent="0.3">
      <c r="A193" t="s">
        <v>1178</v>
      </c>
      <c r="B193" t="s">
        <v>1179</v>
      </c>
      <c r="C193" t="s">
        <v>1180</v>
      </c>
      <c r="D193" t="s">
        <v>249</v>
      </c>
      <c r="E193" t="s">
        <v>1170</v>
      </c>
      <c r="F193" t="s">
        <v>1181</v>
      </c>
      <c r="G193" t="s">
        <v>1182</v>
      </c>
    </row>
    <row r="194" spans="1:7" x14ac:dyDescent="0.3">
      <c r="A194" t="s">
        <v>1183</v>
      </c>
      <c r="B194" t="s">
        <v>1184</v>
      </c>
      <c r="C194" t="s">
        <v>1185</v>
      </c>
      <c r="D194" t="s">
        <v>692</v>
      </c>
      <c r="E194" t="s">
        <v>1170</v>
      </c>
      <c r="F194" t="s">
        <v>1186</v>
      </c>
      <c r="G194" t="s">
        <v>1187</v>
      </c>
    </row>
    <row r="195" spans="1:7" x14ac:dyDescent="0.3">
      <c r="A195" t="s">
        <v>1188</v>
      </c>
      <c r="B195" t="s">
        <v>1189</v>
      </c>
      <c r="C195" t="s">
        <v>1190</v>
      </c>
      <c r="D195" t="s">
        <v>208</v>
      </c>
      <c r="E195" t="s">
        <v>1191</v>
      </c>
      <c r="F195" t="s">
        <v>906</v>
      </c>
      <c r="G195" t="s">
        <v>1192</v>
      </c>
    </row>
    <row r="196" spans="1:7" x14ac:dyDescent="0.3">
      <c r="A196" t="s">
        <v>1193</v>
      </c>
      <c r="B196" t="s">
        <v>1194</v>
      </c>
      <c r="C196" t="s">
        <v>1195</v>
      </c>
      <c r="D196" t="s">
        <v>225</v>
      </c>
      <c r="E196" t="s">
        <v>1153</v>
      </c>
      <c r="F196" t="s">
        <v>1196</v>
      </c>
      <c r="G196" t="s">
        <v>1197</v>
      </c>
    </row>
    <row r="197" spans="1:7" x14ac:dyDescent="0.3">
      <c r="A197" t="s">
        <v>1198</v>
      </c>
      <c r="B197" t="s">
        <v>1199</v>
      </c>
      <c r="C197" t="s">
        <v>1200</v>
      </c>
      <c r="D197" t="s">
        <v>1201</v>
      </c>
      <c r="E197" t="s">
        <v>1202</v>
      </c>
      <c r="F197" t="s">
        <v>1203</v>
      </c>
      <c r="G197" t="s">
        <v>1204</v>
      </c>
    </row>
    <row r="198" spans="1:7" x14ac:dyDescent="0.3">
      <c r="A198" t="s">
        <v>1205</v>
      </c>
      <c r="B198" t="s">
        <v>1206</v>
      </c>
      <c r="C198" t="s">
        <v>1207</v>
      </c>
      <c r="D198" t="s">
        <v>715</v>
      </c>
      <c r="E198" t="s">
        <v>1208</v>
      </c>
      <c r="F198" t="s">
        <v>1209</v>
      </c>
      <c r="G198" t="s">
        <v>1210</v>
      </c>
    </row>
    <row r="199" spans="1:7" x14ac:dyDescent="0.3">
      <c r="A199" t="s">
        <v>1211</v>
      </c>
      <c r="B199" t="s">
        <v>1212</v>
      </c>
      <c r="C199" t="s">
        <v>1213</v>
      </c>
      <c r="D199" t="s">
        <v>10</v>
      </c>
      <c r="E199" t="s">
        <v>1214</v>
      </c>
      <c r="F199" t="s">
        <v>1215</v>
      </c>
      <c r="G199" t="s">
        <v>1216</v>
      </c>
    </row>
    <row r="200" spans="1:7" x14ac:dyDescent="0.3">
      <c r="A200" t="s">
        <v>1217</v>
      </c>
      <c r="B200" t="s">
        <v>1218</v>
      </c>
      <c r="C200" t="s">
        <v>1219</v>
      </c>
      <c r="D200" t="s">
        <v>1023</v>
      </c>
      <c r="E200" t="s">
        <v>1220</v>
      </c>
      <c r="F200" t="s">
        <v>1221</v>
      </c>
      <c r="G200" t="s">
        <v>1222</v>
      </c>
    </row>
    <row r="201" spans="1:7" x14ac:dyDescent="0.3">
      <c r="A201" t="s">
        <v>1223</v>
      </c>
      <c r="B201" t="s">
        <v>1224</v>
      </c>
      <c r="C201" t="s">
        <v>1225</v>
      </c>
      <c r="D201" t="s">
        <v>1145</v>
      </c>
      <c r="E201" t="s">
        <v>1220</v>
      </c>
      <c r="F201" t="s">
        <v>1226</v>
      </c>
      <c r="G201" t="s">
        <v>1227</v>
      </c>
    </row>
    <row r="202" spans="1:7" x14ac:dyDescent="0.3">
      <c r="A202" t="s">
        <v>1228</v>
      </c>
      <c r="B202" t="s">
        <v>1229</v>
      </c>
      <c r="C202" t="s">
        <v>1230</v>
      </c>
      <c r="D202" t="s">
        <v>1231</v>
      </c>
      <c r="E202" t="s">
        <v>1232</v>
      </c>
      <c r="F202" t="s">
        <v>1233</v>
      </c>
      <c r="G202" t="s">
        <v>1234</v>
      </c>
    </row>
    <row r="203" spans="1:7" x14ac:dyDescent="0.3">
      <c r="A203" t="s">
        <v>1235</v>
      </c>
      <c r="B203" t="s">
        <v>1236</v>
      </c>
      <c r="C203" t="s">
        <v>1237</v>
      </c>
      <c r="D203" t="s">
        <v>1238</v>
      </c>
      <c r="E203" t="s">
        <v>1232</v>
      </c>
      <c r="F203" t="s">
        <v>1239</v>
      </c>
      <c r="G203" t="s">
        <v>1240</v>
      </c>
    </row>
    <row r="204" spans="1:7" x14ac:dyDescent="0.3">
      <c r="A204" t="s">
        <v>1241</v>
      </c>
      <c r="B204" t="s">
        <v>1242</v>
      </c>
      <c r="C204" t="s">
        <v>1243</v>
      </c>
      <c r="D204" t="s">
        <v>946</v>
      </c>
      <c r="E204" t="s">
        <v>1244</v>
      </c>
      <c r="F204" t="s">
        <v>1245</v>
      </c>
      <c r="G204" t="s">
        <v>1246</v>
      </c>
    </row>
    <row r="205" spans="1:7" x14ac:dyDescent="0.3">
      <c r="A205" t="s">
        <v>1247</v>
      </c>
      <c r="B205" t="s">
        <v>1248</v>
      </c>
      <c r="C205" t="s">
        <v>1249</v>
      </c>
      <c r="D205" t="s">
        <v>626</v>
      </c>
      <c r="E205" t="s">
        <v>1244</v>
      </c>
      <c r="F205" t="s">
        <v>1250</v>
      </c>
      <c r="G205" t="s">
        <v>1251</v>
      </c>
    </row>
    <row r="206" spans="1:7" x14ac:dyDescent="0.3">
      <c r="A206" t="s">
        <v>1252</v>
      </c>
      <c r="B206" t="s">
        <v>1253</v>
      </c>
      <c r="C206" t="s">
        <v>1254</v>
      </c>
      <c r="D206" t="s">
        <v>1070</v>
      </c>
      <c r="E206" t="s">
        <v>1255</v>
      </c>
      <c r="F206" t="s">
        <v>1256</v>
      </c>
      <c r="G206" t="s">
        <v>1257</v>
      </c>
    </row>
    <row r="207" spans="1:7" x14ac:dyDescent="0.3">
      <c r="A207" t="s">
        <v>1258</v>
      </c>
      <c r="B207" t="s">
        <v>1259</v>
      </c>
      <c r="C207" t="s">
        <v>1260</v>
      </c>
      <c r="D207" t="s">
        <v>1261</v>
      </c>
      <c r="E207" t="s">
        <v>1262</v>
      </c>
      <c r="F207" t="s">
        <v>1263</v>
      </c>
      <c r="G207" t="s">
        <v>1264</v>
      </c>
    </row>
    <row r="208" spans="1:7" x14ac:dyDescent="0.3">
      <c r="A208" t="s">
        <v>1265</v>
      </c>
      <c r="B208" t="s">
        <v>1266</v>
      </c>
      <c r="C208" t="s">
        <v>1267</v>
      </c>
      <c r="D208" t="s">
        <v>749</v>
      </c>
      <c r="E208" t="s">
        <v>1262</v>
      </c>
      <c r="F208" t="s">
        <v>1268</v>
      </c>
      <c r="G208" t="s">
        <v>1269</v>
      </c>
    </row>
    <row r="209" spans="1:7" x14ac:dyDescent="0.3">
      <c r="A209" t="s">
        <v>1270</v>
      </c>
      <c r="B209" t="s">
        <v>1271</v>
      </c>
      <c r="C209" t="s">
        <v>1272</v>
      </c>
      <c r="D209" t="s">
        <v>419</v>
      </c>
      <c r="E209" t="s">
        <v>1255</v>
      </c>
      <c r="F209" t="s">
        <v>1273</v>
      </c>
      <c r="G209" t="s">
        <v>1274</v>
      </c>
    </row>
    <row r="210" spans="1:7" x14ac:dyDescent="0.3">
      <c r="A210" t="s">
        <v>1275</v>
      </c>
      <c r="B210" t="s">
        <v>1276</v>
      </c>
      <c r="C210" t="s">
        <v>1277</v>
      </c>
      <c r="D210" t="s">
        <v>771</v>
      </c>
      <c r="E210" t="s">
        <v>1278</v>
      </c>
      <c r="F210" t="s">
        <v>1279</v>
      </c>
      <c r="G210" t="s">
        <v>482</v>
      </c>
    </row>
    <row r="211" spans="1:7" x14ac:dyDescent="0.3">
      <c r="A211" t="s">
        <v>1280</v>
      </c>
      <c r="B211" t="s">
        <v>1281</v>
      </c>
      <c r="C211" t="s">
        <v>1282</v>
      </c>
      <c r="D211" t="s">
        <v>75</v>
      </c>
      <c r="E211" t="s">
        <v>1278</v>
      </c>
      <c r="F211" t="s">
        <v>1283</v>
      </c>
      <c r="G211" t="s">
        <v>1284</v>
      </c>
    </row>
    <row r="212" spans="1:7" x14ac:dyDescent="0.3">
      <c r="A212" t="s">
        <v>1285</v>
      </c>
      <c r="B212" t="s">
        <v>1286</v>
      </c>
      <c r="C212" t="s">
        <v>1287</v>
      </c>
      <c r="D212" t="s">
        <v>208</v>
      </c>
      <c r="E212" t="s">
        <v>1288</v>
      </c>
      <c r="F212" t="s">
        <v>1289</v>
      </c>
      <c r="G212" t="s">
        <v>1290</v>
      </c>
    </row>
    <row r="213" spans="1:7" x14ac:dyDescent="0.3">
      <c r="A213" t="s">
        <v>1291</v>
      </c>
      <c r="B213" t="s">
        <v>1292</v>
      </c>
      <c r="C213" t="s">
        <v>1293</v>
      </c>
      <c r="D213" t="s">
        <v>1294</v>
      </c>
      <c r="E213" t="s">
        <v>1295</v>
      </c>
      <c r="F213" t="s">
        <v>1296</v>
      </c>
      <c r="G213" t="s">
        <v>1297</v>
      </c>
    </row>
    <row r="214" spans="1:7" x14ac:dyDescent="0.3">
      <c r="A214" t="s">
        <v>1298</v>
      </c>
      <c r="B214" t="s">
        <v>1299</v>
      </c>
      <c r="C214" t="s">
        <v>1300</v>
      </c>
      <c r="D214" t="s">
        <v>1231</v>
      </c>
      <c r="E214" t="s">
        <v>395</v>
      </c>
      <c r="F214" t="s">
        <v>12</v>
      </c>
      <c r="G214" t="s">
        <v>1301</v>
      </c>
    </row>
    <row r="215" spans="1:7" x14ac:dyDescent="0.3">
      <c r="A215" t="s">
        <v>1302</v>
      </c>
      <c r="B215" t="s">
        <v>1303</v>
      </c>
      <c r="C215" t="s">
        <v>1304</v>
      </c>
      <c r="D215" t="s">
        <v>1305</v>
      </c>
      <c r="E215" t="s">
        <v>395</v>
      </c>
      <c r="F215" t="s">
        <v>1306</v>
      </c>
      <c r="G215" t="s">
        <v>1307</v>
      </c>
    </row>
    <row r="216" spans="1:7" x14ac:dyDescent="0.3">
      <c r="A216" t="s">
        <v>1308</v>
      </c>
      <c r="B216" t="s">
        <v>1309</v>
      </c>
      <c r="C216" t="s">
        <v>1310</v>
      </c>
      <c r="D216" t="s">
        <v>102</v>
      </c>
      <c r="E216" t="s">
        <v>395</v>
      </c>
      <c r="F216" t="s">
        <v>1186</v>
      </c>
      <c r="G216" t="s">
        <v>1311</v>
      </c>
    </row>
    <row r="217" spans="1:7" x14ac:dyDescent="0.3">
      <c r="A217" t="s">
        <v>1312</v>
      </c>
      <c r="B217" t="s">
        <v>1313</v>
      </c>
      <c r="C217" t="s">
        <v>1314</v>
      </c>
      <c r="D217" t="s">
        <v>1315</v>
      </c>
      <c r="E217" t="s">
        <v>395</v>
      </c>
      <c r="F217" t="s">
        <v>1316</v>
      </c>
      <c r="G217" t="s">
        <v>346</v>
      </c>
    </row>
    <row r="218" spans="1:7" x14ac:dyDescent="0.3">
      <c r="A218" t="s">
        <v>1317</v>
      </c>
      <c r="B218" t="s">
        <v>1318</v>
      </c>
      <c r="C218" t="s">
        <v>1319</v>
      </c>
      <c r="D218" t="s">
        <v>115</v>
      </c>
      <c r="E218" t="s">
        <v>395</v>
      </c>
      <c r="F218" t="s">
        <v>1320</v>
      </c>
      <c r="G218" t="s">
        <v>1321</v>
      </c>
    </row>
    <row r="219" spans="1:7" x14ac:dyDescent="0.3">
      <c r="A219" t="s">
        <v>1322</v>
      </c>
      <c r="B219" t="s">
        <v>1323</v>
      </c>
      <c r="C219" t="s">
        <v>1324</v>
      </c>
      <c r="D219" t="s">
        <v>1325</v>
      </c>
      <c r="E219" t="s">
        <v>1326</v>
      </c>
      <c r="F219" t="s">
        <v>1327</v>
      </c>
      <c r="G219" t="s">
        <v>482</v>
      </c>
    </row>
    <row r="220" spans="1:7" x14ac:dyDescent="0.3">
      <c r="A220" t="s">
        <v>1328</v>
      </c>
      <c r="B220" t="s">
        <v>1329</v>
      </c>
      <c r="C220" t="s">
        <v>1330</v>
      </c>
      <c r="D220" t="s">
        <v>102</v>
      </c>
      <c r="E220" t="s">
        <v>1331</v>
      </c>
      <c r="F220" t="s">
        <v>1332</v>
      </c>
      <c r="G220" t="s">
        <v>1333</v>
      </c>
    </row>
    <row r="221" spans="1:7" x14ac:dyDescent="0.3">
      <c r="A221" t="s">
        <v>1334</v>
      </c>
      <c r="B221" t="s">
        <v>1335</v>
      </c>
      <c r="C221" t="s">
        <v>1336</v>
      </c>
      <c r="D221" t="s">
        <v>605</v>
      </c>
      <c r="E221" t="s">
        <v>1337</v>
      </c>
      <c r="F221" t="s">
        <v>1338</v>
      </c>
      <c r="G221" t="s">
        <v>1339</v>
      </c>
    </row>
    <row r="222" spans="1:7" x14ac:dyDescent="0.3">
      <c r="A222" t="s">
        <v>1340</v>
      </c>
      <c r="B222" t="s">
        <v>1340</v>
      </c>
      <c r="C222" t="s">
        <v>1341</v>
      </c>
      <c r="D222" t="s">
        <v>771</v>
      </c>
      <c r="E222" t="s">
        <v>1337</v>
      </c>
      <c r="F222" t="s">
        <v>1342</v>
      </c>
      <c r="G222" t="s">
        <v>1343</v>
      </c>
    </row>
    <row r="223" spans="1:7" x14ac:dyDescent="0.3">
      <c r="A223" t="s">
        <v>1344</v>
      </c>
      <c r="B223" t="s">
        <v>1344</v>
      </c>
      <c r="C223" t="s">
        <v>1345</v>
      </c>
      <c r="D223" t="s">
        <v>102</v>
      </c>
      <c r="E223" t="s">
        <v>1337</v>
      </c>
      <c r="F223" t="s">
        <v>1346</v>
      </c>
      <c r="G223" t="s">
        <v>1347</v>
      </c>
    </row>
    <row r="224" spans="1:7" x14ac:dyDescent="0.3">
      <c r="A224" t="s">
        <v>1348</v>
      </c>
      <c r="B224" t="s">
        <v>1349</v>
      </c>
      <c r="C224" t="s">
        <v>1350</v>
      </c>
      <c r="D224" t="s">
        <v>37</v>
      </c>
      <c r="E224" t="s">
        <v>1351</v>
      </c>
      <c r="F224" t="s">
        <v>1352</v>
      </c>
      <c r="G224" t="s">
        <v>1353</v>
      </c>
    </row>
    <row r="225" spans="1:7" x14ac:dyDescent="0.3">
      <c r="A225" t="s">
        <v>1354</v>
      </c>
      <c r="B225" t="s">
        <v>1355</v>
      </c>
      <c r="C225" t="s">
        <v>1356</v>
      </c>
      <c r="D225" t="s">
        <v>256</v>
      </c>
      <c r="E225" t="s">
        <v>1351</v>
      </c>
      <c r="F225" t="s">
        <v>1357</v>
      </c>
      <c r="G225" t="s">
        <v>1358</v>
      </c>
    </row>
    <row r="226" spans="1:7" x14ac:dyDescent="0.3">
      <c r="A226" t="s">
        <v>1359</v>
      </c>
      <c r="B226" t="s">
        <v>1360</v>
      </c>
      <c r="C226" t="s">
        <v>1361</v>
      </c>
      <c r="D226" t="s">
        <v>729</v>
      </c>
      <c r="E226" t="s">
        <v>1351</v>
      </c>
      <c r="F226" t="s">
        <v>1362</v>
      </c>
      <c r="G226" t="s">
        <v>1363</v>
      </c>
    </row>
    <row r="227" spans="1:7" x14ac:dyDescent="0.3">
      <c r="A227" t="s">
        <v>1364</v>
      </c>
      <c r="B227" t="s">
        <v>1365</v>
      </c>
      <c r="C227" t="s">
        <v>1366</v>
      </c>
      <c r="D227" t="s">
        <v>24</v>
      </c>
      <c r="E227" t="s">
        <v>1367</v>
      </c>
      <c r="F227" t="s">
        <v>1368</v>
      </c>
      <c r="G227" t="s">
        <v>1369</v>
      </c>
    </row>
    <row r="228" spans="1:7" x14ac:dyDescent="0.3">
      <c r="A228" t="s">
        <v>1370</v>
      </c>
      <c r="B228" t="s">
        <v>1371</v>
      </c>
      <c r="C228" t="s">
        <v>1372</v>
      </c>
      <c r="D228" t="s">
        <v>650</v>
      </c>
      <c r="E228" t="s">
        <v>1367</v>
      </c>
      <c r="F228" t="s">
        <v>1373</v>
      </c>
      <c r="G228" t="s">
        <v>1374</v>
      </c>
    </row>
    <row r="229" spans="1:7" x14ac:dyDescent="0.3">
      <c r="A229" t="s">
        <v>1375</v>
      </c>
      <c r="B229" t="s">
        <v>1376</v>
      </c>
      <c r="C229" t="s">
        <v>1377</v>
      </c>
      <c r="D229" t="s">
        <v>605</v>
      </c>
      <c r="E229" t="s">
        <v>1367</v>
      </c>
      <c r="F229" t="s">
        <v>1378</v>
      </c>
      <c r="G229" t="s">
        <v>482</v>
      </c>
    </row>
    <row r="230" spans="1:7" x14ac:dyDescent="0.3">
      <c r="A230" t="s">
        <v>1379</v>
      </c>
      <c r="B230" t="s">
        <v>1379</v>
      </c>
      <c r="C230" t="s">
        <v>1380</v>
      </c>
      <c r="D230" t="s">
        <v>605</v>
      </c>
      <c r="E230" t="s">
        <v>1381</v>
      </c>
      <c r="F230" t="s">
        <v>269</v>
      </c>
      <c r="G230" t="s">
        <v>1382</v>
      </c>
    </row>
    <row r="231" spans="1:7" x14ac:dyDescent="0.3">
      <c r="A231" t="s">
        <v>1383</v>
      </c>
      <c r="B231" t="s">
        <v>1384</v>
      </c>
      <c r="C231" t="s">
        <v>1385</v>
      </c>
      <c r="D231" t="s">
        <v>43</v>
      </c>
      <c r="E231" t="s">
        <v>1381</v>
      </c>
      <c r="F231" t="s">
        <v>269</v>
      </c>
      <c r="G231" t="s">
        <v>1386</v>
      </c>
    </row>
    <row r="232" spans="1:7" x14ac:dyDescent="0.3">
      <c r="A232" t="s">
        <v>1387</v>
      </c>
      <c r="B232" t="s">
        <v>1388</v>
      </c>
      <c r="C232" t="s">
        <v>1389</v>
      </c>
      <c r="D232" t="s">
        <v>1390</v>
      </c>
      <c r="E232" t="s">
        <v>1381</v>
      </c>
      <c r="F232" t="s">
        <v>1391</v>
      </c>
      <c r="G232" t="s">
        <v>1392</v>
      </c>
    </row>
    <row r="233" spans="1:7" x14ac:dyDescent="0.3">
      <c r="A233" t="s">
        <v>1393</v>
      </c>
      <c r="B233" t="s">
        <v>1394</v>
      </c>
      <c r="C233" t="s">
        <v>1395</v>
      </c>
      <c r="D233" t="s">
        <v>1396</v>
      </c>
      <c r="E233" t="s">
        <v>1397</v>
      </c>
      <c r="F233" t="s">
        <v>1398</v>
      </c>
      <c r="G233" t="s">
        <v>779</v>
      </c>
    </row>
    <row r="234" spans="1:7" x14ac:dyDescent="0.3">
      <c r="A234" t="s">
        <v>1399</v>
      </c>
      <c r="B234" t="s">
        <v>1400</v>
      </c>
      <c r="C234" t="s">
        <v>1401</v>
      </c>
      <c r="D234" t="s">
        <v>31</v>
      </c>
      <c r="E234" t="s">
        <v>488</v>
      </c>
      <c r="F234" t="s">
        <v>1402</v>
      </c>
      <c r="G234" t="s">
        <v>1403</v>
      </c>
    </row>
    <row r="235" spans="1:7" x14ac:dyDescent="0.3">
      <c r="A235" t="s">
        <v>1404</v>
      </c>
      <c r="B235" t="s">
        <v>1405</v>
      </c>
      <c r="C235" t="s">
        <v>1406</v>
      </c>
      <c r="D235" t="s">
        <v>1407</v>
      </c>
      <c r="E235" t="s">
        <v>305</v>
      </c>
      <c r="F235" t="s">
        <v>1408</v>
      </c>
      <c r="G235" t="s">
        <v>1409</v>
      </c>
    </row>
    <row r="236" spans="1:7" x14ac:dyDescent="0.3">
      <c r="A236" t="s">
        <v>1410</v>
      </c>
      <c r="B236" t="s">
        <v>1411</v>
      </c>
      <c r="C236" t="s">
        <v>1412</v>
      </c>
      <c r="D236" t="s">
        <v>1145</v>
      </c>
      <c r="E236" t="s">
        <v>1413</v>
      </c>
      <c r="F236" t="s">
        <v>1414</v>
      </c>
      <c r="G236" t="s">
        <v>1415</v>
      </c>
    </row>
    <row r="237" spans="1:7" x14ac:dyDescent="0.3">
      <c r="A237" t="s">
        <v>1416</v>
      </c>
      <c r="B237" t="s">
        <v>1417</v>
      </c>
      <c r="C237" t="s">
        <v>1418</v>
      </c>
      <c r="D237" t="s">
        <v>17</v>
      </c>
      <c r="E237" t="s">
        <v>1413</v>
      </c>
      <c r="F237" t="s">
        <v>571</v>
      </c>
      <c r="G237" t="s">
        <v>1419</v>
      </c>
    </row>
    <row r="238" spans="1:7" x14ac:dyDescent="0.3">
      <c r="A238" t="s">
        <v>1420</v>
      </c>
      <c r="B238" t="s">
        <v>1421</v>
      </c>
      <c r="C238" t="s">
        <v>1422</v>
      </c>
      <c r="D238" t="s">
        <v>31</v>
      </c>
      <c r="E238" t="s">
        <v>1423</v>
      </c>
      <c r="F238" t="s">
        <v>1424</v>
      </c>
      <c r="G238" t="s">
        <v>1425</v>
      </c>
    </row>
    <row r="239" spans="1:7" x14ac:dyDescent="0.3">
      <c r="A239" t="s">
        <v>1426</v>
      </c>
      <c r="B239" t="s">
        <v>1427</v>
      </c>
      <c r="C239" t="s">
        <v>1428</v>
      </c>
      <c r="D239" t="s">
        <v>479</v>
      </c>
      <c r="E239" t="s">
        <v>1413</v>
      </c>
      <c r="F239" t="s">
        <v>1429</v>
      </c>
      <c r="G239" t="s">
        <v>1430</v>
      </c>
    </row>
    <row r="240" spans="1:7" x14ac:dyDescent="0.3">
      <c r="A240" t="s">
        <v>1431</v>
      </c>
      <c r="B240" t="s">
        <v>1432</v>
      </c>
      <c r="C240" t="s">
        <v>1433</v>
      </c>
      <c r="D240" t="s">
        <v>168</v>
      </c>
      <c r="E240" t="s">
        <v>1423</v>
      </c>
      <c r="F240" t="s">
        <v>1434</v>
      </c>
      <c r="G240" t="s">
        <v>1435</v>
      </c>
    </row>
    <row r="241" spans="1:7" x14ac:dyDescent="0.3">
      <c r="A241" t="s">
        <v>1436</v>
      </c>
      <c r="B241" t="s">
        <v>1437</v>
      </c>
      <c r="C241" t="s">
        <v>1438</v>
      </c>
      <c r="D241" t="s">
        <v>208</v>
      </c>
      <c r="E241" t="s">
        <v>1423</v>
      </c>
      <c r="F241" t="s">
        <v>1439</v>
      </c>
      <c r="G241" t="s">
        <v>1440</v>
      </c>
    </row>
    <row r="242" spans="1:7" x14ac:dyDescent="0.3">
      <c r="A242" t="s">
        <v>1441</v>
      </c>
      <c r="B242" t="s">
        <v>1442</v>
      </c>
      <c r="C242" t="s">
        <v>1443</v>
      </c>
      <c r="D242" t="s">
        <v>43</v>
      </c>
      <c r="E242" t="s">
        <v>1444</v>
      </c>
      <c r="F242" t="s">
        <v>269</v>
      </c>
      <c r="G242" t="s">
        <v>1445</v>
      </c>
    </row>
    <row r="243" spans="1:7" x14ac:dyDescent="0.3">
      <c r="A243" t="s">
        <v>1446</v>
      </c>
      <c r="B243" t="s">
        <v>1447</v>
      </c>
      <c r="C243" t="s">
        <v>1448</v>
      </c>
      <c r="D243" t="s">
        <v>136</v>
      </c>
      <c r="E243" t="s">
        <v>600</v>
      </c>
      <c r="F243" t="s">
        <v>1449</v>
      </c>
      <c r="G243" t="s">
        <v>1450</v>
      </c>
    </row>
    <row r="244" spans="1:7" x14ac:dyDescent="0.3">
      <c r="A244" t="s">
        <v>1451</v>
      </c>
      <c r="B244" t="s">
        <v>1452</v>
      </c>
      <c r="C244" t="s">
        <v>1453</v>
      </c>
      <c r="D244" t="s">
        <v>323</v>
      </c>
      <c r="E244" t="s">
        <v>600</v>
      </c>
      <c r="F244" t="s">
        <v>1454</v>
      </c>
      <c r="G244" t="s">
        <v>1455</v>
      </c>
    </row>
    <row r="245" spans="1:7" x14ac:dyDescent="0.3">
      <c r="A245" t="s">
        <v>1456</v>
      </c>
      <c r="B245" t="s">
        <v>1457</v>
      </c>
      <c r="C245" t="s">
        <v>1458</v>
      </c>
      <c r="D245" t="s">
        <v>175</v>
      </c>
      <c r="E245" t="s">
        <v>600</v>
      </c>
      <c r="F245" t="s">
        <v>1459</v>
      </c>
      <c r="G245" t="s">
        <v>1460</v>
      </c>
    </row>
    <row r="246" spans="1:7" x14ac:dyDescent="0.3">
      <c r="A246" t="s">
        <v>1461</v>
      </c>
      <c r="B246" t="s">
        <v>1462</v>
      </c>
      <c r="C246" t="s">
        <v>1463</v>
      </c>
      <c r="D246" t="s">
        <v>129</v>
      </c>
      <c r="E246" t="s">
        <v>761</v>
      </c>
      <c r="F246" t="s">
        <v>1464</v>
      </c>
      <c r="G246" t="s">
        <v>1465</v>
      </c>
    </row>
    <row r="247" spans="1:7" x14ac:dyDescent="0.3">
      <c r="A247" t="s">
        <v>1466</v>
      </c>
      <c r="B247" t="s">
        <v>1467</v>
      </c>
      <c r="C247" t="s">
        <v>1468</v>
      </c>
      <c r="D247" t="s">
        <v>43</v>
      </c>
      <c r="E247" t="s">
        <v>761</v>
      </c>
      <c r="F247" t="s">
        <v>1469</v>
      </c>
      <c r="G247" t="s">
        <v>1470</v>
      </c>
    </row>
    <row r="248" spans="1:7" x14ac:dyDescent="0.3">
      <c r="A248" t="s">
        <v>1471</v>
      </c>
      <c r="B248" t="s">
        <v>1472</v>
      </c>
      <c r="C248" t="s">
        <v>1473</v>
      </c>
      <c r="D248" t="s">
        <v>1474</v>
      </c>
      <c r="E248" t="s">
        <v>761</v>
      </c>
      <c r="F248" t="s">
        <v>1475</v>
      </c>
      <c r="G248" t="s">
        <v>1476</v>
      </c>
    </row>
    <row r="249" spans="1:7" x14ac:dyDescent="0.3">
      <c r="A249" t="s">
        <v>1477</v>
      </c>
      <c r="B249" t="s">
        <v>1478</v>
      </c>
      <c r="C249" t="s">
        <v>1479</v>
      </c>
      <c r="D249" t="s">
        <v>43</v>
      </c>
      <c r="E249" t="s">
        <v>1480</v>
      </c>
      <c r="F249" t="s">
        <v>269</v>
      </c>
      <c r="G249" t="s">
        <v>1481</v>
      </c>
    </row>
    <row r="250" spans="1:7" x14ac:dyDescent="0.3">
      <c r="A250" t="s">
        <v>1482</v>
      </c>
      <c r="B250" t="s">
        <v>1482</v>
      </c>
      <c r="C250" t="s">
        <v>1483</v>
      </c>
      <c r="D250" t="s">
        <v>43</v>
      </c>
      <c r="E250" t="s">
        <v>1480</v>
      </c>
      <c r="F250" t="s">
        <v>269</v>
      </c>
      <c r="G250" t="s">
        <v>1484</v>
      </c>
    </row>
    <row r="251" spans="1:7" x14ac:dyDescent="0.3">
      <c r="A251" t="s">
        <v>1485</v>
      </c>
      <c r="B251" t="s">
        <v>1486</v>
      </c>
      <c r="C251" t="s">
        <v>1487</v>
      </c>
      <c r="D251" t="s">
        <v>904</v>
      </c>
      <c r="E251" t="s">
        <v>1480</v>
      </c>
      <c r="F251" t="s">
        <v>1488</v>
      </c>
      <c r="G251" t="s">
        <v>1489</v>
      </c>
    </row>
    <row r="252" spans="1:7" x14ac:dyDescent="0.3">
      <c r="A252" t="s">
        <v>1490</v>
      </c>
      <c r="B252" t="s">
        <v>1491</v>
      </c>
      <c r="C252" t="s">
        <v>1492</v>
      </c>
      <c r="D252" t="s">
        <v>43</v>
      </c>
      <c r="E252" t="s">
        <v>1480</v>
      </c>
      <c r="F252" t="s">
        <v>269</v>
      </c>
      <c r="G252" t="s">
        <v>1493</v>
      </c>
    </row>
    <row r="253" spans="1:7" x14ac:dyDescent="0.3">
      <c r="A253" t="s">
        <v>1494</v>
      </c>
      <c r="B253" t="s">
        <v>1495</v>
      </c>
      <c r="C253" t="s">
        <v>1496</v>
      </c>
      <c r="D253" t="s">
        <v>1497</v>
      </c>
      <c r="E253" t="s">
        <v>1480</v>
      </c>
      <c r="F253" t="s">
        <v>1498</v>
      </c>
      <c r="G253" t="s">
        <v>1499</v>
      </c>
    </row>
    <row r="254" spans="1:7" x14ac:dyDescent="0.3">
      <c r="A254" t="s">
        <v>1500</v>
      </c>
      <c r="B254" t="s">
        <v>1501</v>
      </c>
      <c r="C254" t="s">
        <v>1502</v>
      </c>
      <c r="D254" t="s">
        <v>605</v>
      </c>
      <c r="E254" t="s">
        <v>1480</v>
      </c>
      <c r="F254" t="s">
        <v>1503</v>
      </c>
      <c r="G254" t="s">
        <v>1504</v>
      </c>
    </row>
    <row r="255" spans="1:7" x14ac:dyDescent="0.3">
      <c r="A255" t="s">
        <v>1505</v>
      </c>
      <c r="B255" t="s">
        <v>1506</v>
      </c>
      <c r="C255" t="s">
        <v>1507</v>
      </c>
      <c r="D255" t="s">
        <v>43</v>
      </c>
      <c r="E255" t="s">
        <v>1508</v>
      </c>
      <c r="F255" t="s">
        <v>1509</v>
      </c>
      <c r="G255" t="s">
        <v>1510</v>
      </c>
    </row>
    <row r="256" spans="1:7" x14ac:dyDescent="0.3">
      <c r="A256" t="s">
        <v>1511</v>
      </c>
      <c r="B256" t="s">
        <v>1512</v>
      </c>
      <c r="C256" t="s">
        <v>1513</v>
      </c>
      <c r="D256" t="s">
        <v>1514</v>
      </c>
      <c r="E256" t="s">
        <v>1515</v>
      </c>
      <c r="F256" t="s">
        <v>1516</v>
      </c>
      <c r="G256" t="s">
        <v>1517</v>
      </c>
    </row>
    <row r="257" spans="1:7" x14ac:dyDescent="0.3">
      <c r="A257" t="s">
        <v>1518</v>
      </c>
      <c r="B257" t="s">
        <v>1519</v>
      </c>
      <c r="C257" t="s">
        <v>1520</v>
      </c>
      <c r="D257" t="s">
        <v>1521</v>
      </c>
      <c r="E257" t="s">
        <v>1522</v>
      </c>
      <c r="F257" t="s">
        <v>269</v>
      </c>
      <c r="G257" t="s">
        <v>1523</v>
      </c>
    </row>
    <row r="258" spans="1:7" x14ac:dyDescent="0.3">
      <c r="A258" t="s">
        <v>1524</v>
      </c>
      <c r="B258" t="s">
        <v>1525</v>
      </c>
      <c r="C258" t="s">
        <v>1526</v>
      </c>
      <c r="D258" t="s">
        <v>1474</v>
      </c>
      <c r="E258" t="s">
        <v>1522</v>
      </c>
      <c r="F258" t="s">
        <v>1527</v>
      </c>
      <c r="G258" t="s">
        <v>1528</v>
      </c>
    </row>
    <row r="259" spans="1:7" x14ac:dyDescent="0.3">
      <c r="A259" t="s">
        <v>1529</v>
      </c>
      <c r="B259" t="s">
        <v>1530</v>
      </c>
      <c r="C259" t="s">
        <v>1531</v>
      </c>
      <c r="D259" t="s">
        <v>1023</v>
      </c>
      <c r="E259" t="s">
        <v>1522</v>
      </c>
      <c r="F259" t="s">
        <v>1532</v>
      </c>
      <c r="G259" t="s">
        <v>1533</v>
      </c>
    </row>
    <row r="260" spans="1:7" x14ac:dyDescent="0.3">
      <c r="A260" t="s">
        <v>1534</v>
      </c>
      <c r="B260" t="s">
        <v>1535</v>
      </c>
      <c r="C260" t="s">
        <v>1536</v>
      </c>
      <c r="D260" t="s">
        <v>1537</v>
      </c>
      <c r="E260" t="s">
        <v>1522</v>
      </c>
      <c r="F260" t="s">
        <v>1538</v>
      </c>
      <c r="G260" t="s">
        <v>1539</v>
      </c>
    </row>
    <row r="261" spans="1:7" x14ac:dyDescent="0.3">
      <c r="A261" t="s">
        <v>1540</v>
      </c>
      <c r="B261" t="s">
        <v>1541</v>
      </c>
      <c r="C261" t="s">
        <v>1542</v>
      </c>
      <c r="D261" t="s">
        <v>129</v>
      </c>
      <c r="E261" t="s">
        <v>1007</v>
      </c>
      <c r="F261" t="s">
        <v>1543</v>
      </c>
      <c r="G261" t="s">
        <v>1544</v>
      </c>
    </row>
    <row r="262" spans="1:7" x14ac:dyDescent="0.3">
      <c r="A262" t="s">
        <v>1545</v>
      </c>
      <c r="B262" t="s">
        <v>1546</v>
      </c>
      <c r="C262" t="s">
        <v>1547</v>
      </c>
      <c r="D262" t="s">
        <v>511</v>
      </c>
      <c r="E262" t="s">
        <v>1007</v>
      </c>
      <c r="F262" t="s">
        <v>1548</v>
      </c>
      <c r="G262" t="s">
        <v>482</v>
      </c>
    </row>
    <row r="263" spans="1:7" x14ac:dyDescent="0.3">
      <c r="A263" t="s">
        <v>1549</v>
      </c>
      <c r="B263" t="s">
        <v>1550</v>
      </c>
      <c r="C263" t="s">
        <v>1551</v>
      </c>
      <c r="D263" t="s">
        <v>68</v>
      </c>
      <c r="E263" t="s">
        <v>1007</v>
      </c>
      <c r="F263" t="s">
        <v>1552</v>
      </c>
      <c r="G263" t="s">
        <v>1553</v>
      </c>
    </row>
    <row r="264" spans="1:7" x14ac:dyDescent="0.3">
      <c r="A264" t="s">
        <v>1554</v>
      </c>
      <c r="B264" t="s">
        <v>1555</v>
      </c>
      <c r="C264" t="s">
        <v>1556</v>
      </c>
      <c r="D264" t="s">
        <v>102</v>
      </c>
      <c r="E264" t="s">
        <v>1557</v>
      </c>
      <c r="F264" t="s">
        <v>1558</v>
      </c>
      <c r="G264" t="s">
        <v>1559</v>
      </c>
    </row>
    <row r="265" spans="1:7" x14ac:dyDescent="0.3">
      <c r="A265" t="s">
        <v>1560</v>
      </c>
      <c r="B265" t="s">
        <v>1561</v>
      </c>
      <c r="C265" t="s">
        <v>1562</v>
      </c>
      <c r="D265" t="s">
        <v>208</v>
      </c>
      <c r="E265" t="s">
        <v>1557</v>
      </c>
      <c r="F265" t="s">
        <v>1563</v>
      </c>
      <c r="G265" t="s">
        <v>1564</v>
      </c>
    </row>
    <row r="266" spans="1:7" x14ac:dyDescent="0.3">
      <c r="A266" t="s">
        <v>1565</v>
      </c>
      <c r="B266" t="s">
        <v>1566</v>
      </c>
      <c r="C266" t="s">
        <v>1567</v>
      </c>
      <c r="D266" t="s">
        <v>10</v>
      </c>
      <c r="E266" t="s">
        <v>1557</v>
      </c>
      <c r="F266" t="s">
        <v>1568</v>
      </c>
      <c r="G266" t="s">
        <v>1569</v>
      </c>
    </row>
    <row r="267" spans="1:7" x14ac:dyDescent="0.3">
      <c r="A267" t="s">
        <v>1570</v>
      </c>
      <c r="B267" t="s">
        <v>1570</v>
      </c>
      <c r="C267" t="s">
        <v>1571</v>
      </c>
      <c r="D267" t="s">
        <v>43</v>
      </c>
      <c r="E267" t="s">
        <v>1557</v>
      </c>
      <c r="F267" t="s">
        <v>269</v>
      </c>
      <c r="G267" t="s">
        <v>1572</v>
      </c>
    </row>
    <row r="268" spans="1:7" x14ac:dyDescent="0.3">
      <c r="A268" t="s">
        <v>1573</v>
      </c>
      <c r="B268" t="s">
        <v>1573</v>
      </c>
      <c r="C268" t="s">
        <v>1574</v>
      </c>
      <c r="D268" t="s">
        <v>1575</v>
      </c>
      <c r="E268" t="s">
        <v>1557</v>
      </c>
      <c r="F268" t="s">
        <v>1576</v>
      </c>
      <c r="G268" t="s">
        <v>1577</v>
      </c>
    </row>
    <row r="269" spans="1:7" x14ac:dyDescent="0.3">
      <c r="A269" t="s">
        <v>1578</v>
      </c>
      <c r="B269" t="s">
        <v>1579</v>
      </c>
      <c r="C269" t="s">
        <v>1580</v>
      </c>
      <c r="D269" t="s">
        <v>88</v>
      </c>
      <c r="E269" t="s">
        <v>1557</v>
      </c>
      <c r="F269" t="s">
        <v>1581</v>
      </c>
      <c r="G269" t="s">
        <v>1582</v>
      </c>
    </row>
    <row r="270" spans="1:7" x14ac:dyDescent="0.3">
      <c r="A270" t="s">
        <v>1583</v>
      </c>
      <c r="B270" t="s">
        <v>1584</v>
      </c>
      <c r="C270" t="s">
        <v>1585</v>
      </c>
      <c r="D270" t="s">
        <v>75</v>
      </c>
      <c r="E270" t="s">
        <v>1586</v>
      </c>
      <c r="F270" t="s">
        <v>1587</v>
      </c>
      <c r="G270" t="s">
        <v>1588</v>
      </c>
    </row>
    <row r="271" spans="1:7" x14ac:dyDescent="0.3">
      <c r="A271" t="s">
        <v>1589</v>
      </c>
      <c r="B271" t="s">
        <v>1590</v>
      </c>
      <c r="C271" t="s">
        <v>1591</v>
      </c>
      <c r="D271" t="s">
        <v>612</v>
      </c>
      <c r="E271" t="s">
        <v>1586</v>
      </c>
      <c r="F271" t="s">
        <v>1592</v>
      </c>
      <c r="G271" t="s">
        <v>1593</v>
      </c>
    </row>
    <row r="272" spans="1:7" x14ac:dyDescent="0.3">
      <c r="A272" t="s">
        <v>1594</v>
      </c>
      <c r="B272" t="s">
        <v>1595</v>
      </c>
      <c r="C272" t="s">
        <v>1596</v>
      </c>
      <c r="D272" t="s">
        <v>1231</v>
      </c>
      <c r="E272" t="s">
        <v>1597</v>
      </c>
      <c r="F272" t="s">
        <v>1598</v>
      </c>
      <c r="G272" t="s">
        <v>1599</v>
      </c>
    </row>
    <row r="273" spans="1:7" x14ac:dyDescent="0.3">
      <c r="A273" t="s">
        <v>1600</v>
      </c>
      <c r="B273" t="s">
        <v>1601</v>
      </c>
      <c r="C273" t="s">
        <v>1602</v>
      </c>
      <c r="D273" t="s">
        <v>1603</v>
      </c>
      <c r="E273" t="s">
        <v>1597</v>
      </c>
      <c r="F273" t="s">
        <v>1604</v>
      </c>
      <c r="G273" t="s">
        <v>1605</v>
      </c>
    </row>
    <row r="274" spans="1:7" x14ac:dyDescent="0.3">
      <c r="A274" t="s">
        <v>1606</v>
      </c>
      <c r="B274" t="s">
        <v>1607</v>
      </c>
      <c r="C274" t="s">
        <v>1608</v>
      </c>
      <c r="D274" t="s">
        <v>612</v>
      </c>
      <c r="E274" t="s">
        <v>1597</v>
      </c>
      <c r="F274" t="s">
        <v>1609</v>
      </c>
      <c r="G274" t="s">
        <v>1610</v>
      </c>
    </row>
    <row r="275" spans="1:7" x14ac:dyDescent="0.3">
      <c r="A275" t="s">
        <v>1611</v>
      </c>
      <c r="B275" t="s">
        <v>1612</v>
      </c>
      <c r="C275" t="s">
        <v>1613</v>
      </c>
      <c r="D275" t="s">
        <v>43</v>
      </c>
      <c r="E275" t="s">
        <v>1597</v>
      </c>
      <c r="F275" t="s">
        <v>1614</v>
      </c>
      <c r="G275" t="s">
        <v>1615</v>
      </c>
    </row>
    <row r="276" spans="1:7" x14ac:dyDescent="0.3">
      <c r="A276" t="s">
        <v>1616</v>
      </c>
      <c r="B276" t="s">
        <v>1617</v>
      </c>
      <c r="C276" t="s">
        <v>1618</v>
      </c>
      <c r="D276" t="s">
        <v>249</v>
      </c>
      <c r="E276" t="s">
        <v>906</v>
      </c>
      <c r="F276" t="s">
        <v>1619</v>
      </c>
      <c r="G276" t="s">
        <v>1620</v>
      </c>
    </row>
    <row r="277" spans="1:7" x14ac:dyDescent="0.3">
      <c r="A277" t="s">
        <v>1621</v>
      </c>
      <c r="B277" t="s">
        <v>1622</v>
      </c>
      <c r="C277" t="s">
        <v>1623</v>
      </c>
      <c r="D277" t="s">
        <v>1624</v>
      </c>
      <c r="E277" t="s">
        <v>906</v>
      </c>
      <c r="F277" t="s">
        <v>1625</v>
      </c>
      <c r="G277" t="s">
        <v>1626</v>
      </c>
    </row>
    <row r="278" spans="1:7" x14ac:dyDescent="0.3">
      <c r="A278" t="s">
        <v>1627</v>
      </c>
      <c r="B278" t="s">
        <v>1628</v>
      </c>
      <c r="C278" t="s">
        <v>1629</v>
      </c>
      <c r="D278" t="s">
        <v>43</v>
      </c>
      <c r="E278" t="s">
        <v>1089</v>
      </c>
      <c r="F278" t="s">
        <v>1630</v>
      </c>
      <c r="G278" t="s">
        <v>1631</v>
      </c>
    </row>
    <row r="279" spans="1:7" x14ac:dyDescent="0.3">
      <c r="A279" t="s">
        <v>1632</v>
      </c>
      <c r="B279" t="s">
        <v>1633</v>
      </c>
      <c r="C279" t="s">
        <v>1634</v>
      </c>
      <c r="D279" t="s">
        <v>43</v>
      </c>
      <c r="E279" t="s">
        <v>906</v>
      </c>
      <c r="F279" t="s">
        <v>269</v>
      </c>
      <c r="G279" t="s">
        <v>805</v>
      </c>
    </row>
    <row r="280" spans="1:7" x14ac:dyDescent="0.3">
      <c r="A280" t="s">
        <v>1635</v>
      </c>
      <c r="B280" t="s">
        <v>1636</v>
      </c>
      <c r="C280" t="s">
        <v>1637</v>
      </c>
      <c r="D280" t="s">
        <v>605</v>
      </c>
      <c r="E280" t="s">
        <v>906</v>
      </c>
      <c r="F280" t="s">
        <v>1638</v>
      </c>
      <c r="G280" t="s">
        <v>1639</v>
      </c>
    </row>
    <row r="281" spans="1:7" x14ac:dyDescent="0.3">
      <c r="A281" t="s">
        <v>1640</v>
      </c>
      <c r="B281" t="s">
        <v>1641</v>
      </c>
      <c r="C281" t="s">
        <v>1642</v>
      </c>
      <c r="D281" t="s">
        <v>1474</v>
      </c>
      <c r="E281" t="s">
        <v>1643</v>
      </c>
      <c r="F281" t="s">
        <v>1644</v>
      </c>
      <c r="G281" t="s">
        <v>1645</v>
      </c>
    </row>
    <row r="282" spans="1:7" x14ac:dyDescent="0.3">
      <c r="A282" t="s">
        <v>1646</v>
      </c>
      <c r="B282" t="s">
        <v>1647</v>
      </c>
      <c r="C282" t="s">
        <v>1648</v>
      </c>
      <c r="D282" t="s">
        <v>43</v>
      </c>
      <c r="E282" t="s">
        <v>1643</v>
      </c>
      <c r="F282" t="s">
        <v>1649</v>
      </c>
      <c r="G282" t="s">
        <v>1650</v>
      </c>
    </row>
    <row r="283" spans="1:7" x14ac:dyDescent="0.3">
      <c r="A283" t="s">
        <v>1651</v>
      </c>
      <c r="B283" t="s">
        <v>1652</v>
      </c>
      <c r="C283" t="s">
        <v>1653</v>
      </c>
      <c r="D283" t="s">
        <v>256</v>
      </c>
      <c r="E283" t="s">
        <v>1089</v>
      </c>
      <c r="F283" t="s">
        <v>1654</v>
      </c>
      <c r="G283" t="s">
        <v>1655</v>
      </c>
    </row>
    <row r="284" spans="1:7" x14ac:dyDescent="0.3">
      <c r="A284" t="s">
        <v>1656</v>
      </c>
      <c r="B284" t="s">
        <v>1657</v>
      </c>
      <c r="C284" t="s">
        <v>1658</v>
      </c>
      <c r="D284" t="s">
        <v>1659</v>
      </c>
      <c r="E284" t="s">
        <v>1660</v>
      </c>
      <c r="F284" t="s">
        <v>1661</v>
      </c>
      <c r="G284" t="s">
        <v>1662</v>
      </c>
    </row>
    <row r="285" spans="1:7" x14ac:dyDescent="0.3">
      <c r="A285" t="s">
        <v>1663</v>
      </c>
      <c r="B285" t="s">
        <v>1664</v>
      </c>
      <c r="C285" t="s">
        <v>1665</v>
      </c>
      <c r="D285" t="s">
        <v>1666</v>
      </c>
      <c r="E285" t="s">
        <v>1660</v>
      </c>
      <c r="F285" t="s">
        <v>1667</v>
      </c>
      <c r="G285" t="s">
        <v>699</v>
      </c>
    </row>
    <row r="286" spans="1:7" x14ac:dyDescent="0.3">
      <c r="A286" t="s">
        <v>1668</v>
      </c>
      <c r="B286" t="s">
        <v>1669</v>
      </c>
      <c r="C286" t="s">
        <v>1670</v>
      </c>
      <c r="D286" t="s">
        <v>904</v>
      </c>
      <c r="E286" t="s">
        <v>1660</v>
      </c>
      <c r="F286" t="s">
        <v>1671</v>
      </c>
      <c r="G286" t="s">
        <v>1672</v>
      </c>
    </row>
    <row r="287" spans="1:7" x14ac:dyDescent="0.3">
      <c r="A287" t="s">
        <v>1673</v>
      </c>
      <c r="B287" t="s">
        <v>1674</v>
      </c>
      <c r="C287" t="s">
        <v>1675</v>
      </c>
      <c r="D287" t="s">
        <v>43</v>
      </c>
      <c r="E287" t="s">
        <v>1676</v>
      </c>
      <c r="F287" t="s">
        <v>269</v>
      </c>
      <c r="G287" t="s">
        <v>1677</v>
      </c>
    </row>
    <row r="288" spans="1:7" x14ac:dyDescent="0.3">
      <c r="A288" t="s">
        <v>1678</v>
      </c>
      <c r="B288" t="s">
        <v>1679</v>
      </c>
      <c r="C288" t="s">
        <v>1680</v>
      </c>
      <c r="D288" t="s">
        <v>43</v>
      </c>
      <c r="E288" t="s">
        <v>1681</v>
      </c>
      <c r="F288" t="s">
        <v>269</v>
      </c>
      <c r="G288" t="s">
        <v>1682</v>
      </c>
    </row>
    <row r="289" spans="1:7" x14ac:dyDescent="0.3">
      <c r="A289" t="s">
        <v>1683</v>
      </c>
      <c r="B289" t="s">
        <v>1684</v>
      </c>
      <c r="C289" t="s">
        <v>1685</v>
      </c>
      <c r="D289" t="s">
        <v>37</v>
      </c>
      <c r="E289" t="s">
        <v>1686</v>
      </c>
      <c r="F289" t="s">
        <v>1181</v>
      </c>
      <c r="G289" t="s">
        <v>1687</v>
      </c>
    </row>
    <row r="290" spans="1:7" x14ac:dyDescent="0.3">
      <c r="A290" t="s">
        <v>1688</v>
      </c>
      <c r="B290" t="s">
        <v>1688</v>
      </c>
      <c r="C290" t="s">
        <v>1689</v>
      </c>
      <c r="D290" t="s">
        <v>43</v>
      </c>
      <c r="E290" t="s">
        <v>1690</v>
      </c>
      <c r="F290" t="s">
        <v>269</v>
      </c>
      <c r="G290" t="s">
        <v>1691</v>
      </c>
    </row>
    <row r="291" spans="1:7" x14ac:dyDescent="0.3">
      <c r="A291" t="s">
        <v>1692</v>
      </c>
      <c r="B291" t="s">
        <v>1693</v>
      </c>
      <c r="C291" t="s">
        <v>1694</v>
      </c>
      <c r="D291" t="s">
        <v>31</v>
      </c>
      <c r="E291" t="s">
        <v>1690</v>
      </c>
      <c r="F291" t="s">
        <v>1695</v>
      </c>
      <c r="G291" t="s">
        <v>1696</v>
      </c>
    </row>
    <row r="292" spans="1:7" x14ac:dyDescent="0.3">
      <c r="A292" t="s">
        <v>1697</v>
      </c>
      <c r="B292" t="s">
        <v>1698</v>
      </c>
      <c r="C292" t="s">
        <v>1699</v>
      </c>
      <c r="D292" t="s">
        <v>1261</v>
      </c>
      <c r="E292" t="s">
        <v>1700</v>
      </c>
      <c r="F292" t="s">
        <v>1701</v>
      </c>
      <c r="G292" t="s">
        <v>1702</v>
      </c>
    </row>
    <row r="293" spans="1:7" x14ac:dyDescent="0.3">
      <c r="A293" t="s">
        <v>1703</v>
      </c>
      <c r="B293" t="s">
        <v>1704</v>
      </c>
      <c r="C293" t="s">
        <v>1705</v>
      </c>
      <c r="D293" t="s">
        <v>225</v>
      </c>
      <c r="E293" t="s">
        <v>1706</v>
      </c>
      <c r="F293" t="s">
        <v>1707</v>
      </c>
      <c r="G293" t="s">
        <v>1708</v>
      </c>
    </row>
    <row r="294" spans="1:7" x14ac:dyDescent="0.3">
      <c r="A294" t="s">
        <v>1709</v>
      </c>
      <c r="B294" t="s">
        <v>1710</v>
      </c>
      <c r="C294" t="s">
        <v>1711</v>
      </c>
      <c r="D294" t="s">
        <v>1712</v>
      </c>
      <c r="E294" t="s">
        <v>1713</v>
      </c>
      <c r="F294" t="s">
        <v>1714</v>
      </c>
      <c r="G294" t="s">
        <v>1715</v>
      </c>
    </row>
    <row r="295" spans="1:7" x14ac:dyDescent="0.3">
      <c r="A295" t="s">
        <v>1716</v>
      </c>
      <c r="B295" t="s">
        <v>1717</v>
      </c>
      <c r="C295" t="s">
        <v>1718</v>
      </c>
      <c r="D295" t="s">
        <v>256</v>
      </c>
      <c r="E295" t="s">
        <v>1719</v>
      </c>
      <c r="F295" t="s">
        <v>1720</v>
      </c>
      <c r="G295" t="s">
        <v>1721</v>
      </c>
    </row>
    <row r="296" spans="1:7" x14ac:dyDescent="0.3">
      <c r="A296" t="s">
        <v>1722</v>
      </c>
      <c r="B296" t="s">
        <v>1723</v>
      </c>
      <c r="C296" t="s">
        <v>1724</v>
      </c>
      <c r="D296" t="s">
        <v>208</v>
      </c>
      <c r="E296" t="s">
        <v>1725</v>
      </c>
      <c r="F296" t="s">
        <v>1726</v>
      </c>
      <c r="G296" t="s">
        <v>1727</v>
      </c>
    </row>
    <row r="297" spans="1:7" x14ac:dyDescent="0.3">
      <c r="A297" t="s">
        <v>1728</v>
      </c>
      <c r="B297" t="s">
        <v>1729</v>
      </c>
      <c r="C297" t="s">
        <v>1730</v>
      </c>
      <c r="D297" t="s">
        <v>1731</v>
      </c>
      <c r="E297" t="s">
        <v>1732</v>
      </c>
      <c r="F297" t="s">
        <v>1733</v>
      </c>
      <c r="G297" t="s">
        <v>1734</v>
      </c>
    </row>
    <row r="298" spans="1:7" x14ac:dyDescent="0.3">
      <c r="A298" t="s">
        <v>1735</v>
      </c>
      <c r="B298" t="s">
        <v>1736</v>
      </c>
      <c r="C298" t="s">
        <v>1737</v>
      </c>
      <c r="D298" t="s">
        <v>729</v>
      </c>
      <c r="E298" t="s">
        <v>1738</v>
      </c>
      <c r="F298" t="s">
        <v>1739</v>
      </c>
      <c r="G298" t="s">
        <v>1740</v>
      </c>
    </row>
    <row r="299" spans="1:7" x14ac:dyDescent="0.3">
      <c r="A299" t="s">
        <v>1741</v>
      </c>
      <c r="B299" t="s">
        <v>1742</v>
      </c>
      <c r="C299" t="s">
        <v>1743</v>
      </c>
      <c r="D299" t="s">
        <v>195</v>
      </c>
      <c r="E299" t="s">
        <v>1744</v>
      </c>
      <c r="F299" t="s">
        <v>1745</v>
      </c>
      <c r="G299" t="s">
        <v>1746</v>
      </c>
    </row>
    <row r="300" spans="1:7" x14ac:dyDescent="0.3">
      <c r="A300" t="s">
        <v>1747</v>
      </c>
      <c r="B300" t="s">
        <v>1748</v>
      </c>
      <c r="C300" t="s">
        <v>1749</v>
      </c>
      <c r="D300" t="s">
        <v>1145</v>
      </c>
      <c r="E300" t="s">
        <v>1750</v>
      </c>
      <c r="F300" t="s">
        <v>1751</v>
      </c>
      <c r="G300" t="s">
        <v>1752</v>
      </c>
    </row>
    <row r="301" spans="1:7" x14ac:dyDescent="0.3">
      <c r="A301" t="s">
        <v>1753</v>
      </c>
      <c r="B301" t="s">
        <v>1754</v>
      </c>
      <c r="C301" t="s">
        <v>1755</v>
      </c>
      <c r="D301" t="s">
        <v>612</v>
      </c>
      <c r="E301" t="s">
        <v>1756</v>
      </c>
      <c r="F301" t="s">
        <v>1757</v>
      </c>
      <c r="G301" t="s">
        <v>1758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5F08-F1FF-472D-B937-7240DD23E379}">
  <dimension ref="A1:M277"/>
  <sheetViews>
    <sheetView topLeftCell="A2" workbookViewId="0">
      <selection activeCell="E14" sqref="E14"/>
    </sheetView>
  </sheetViews>
  <sheetFormatPr defaultRowHeight="14.4" x14ac:dyDescent="0.3"/>
  <cols>
    <col min="1" max="1" width="46.88671875" bestFit="1" customWidth="1"/>
    <col min="2" max="2" width="9.88671875" bestFit="1" customWidth="1"/>
    <col min="3" max="3" width="12.6640625" bestFit="1" customWidth="1"/>
    <col min="4" max="4" width="15.44140625" bestFit="1" customWidth="1"/>
    <col min="5" max="5" width="14.44140625" bestFit="1" customWidth="1"/>
    <col min="6" max="6" width="13" bestFit="1" customWidth="1"/>
    <col min="7" max="7" width="20.33203125" bestFit="1" customWidth="1"/>
    <col min="8" max="8" width="18.77734375" bestFit="1" customWidth="1"/>
    <col min="9" max="9" width="20.6640625" bestFit="1" customWidth="1"/>
    <col min="10" max="10" width="18.44140625" bestFit="1" customWidth="1"/>
    <col min="11" max="11" width="24.88671875" bestFit="1" customWidth="1"/>
    <col min="12" max="12" width="9.5546875" customWidth="1"/>
    <col min="13" max="13" width="14.5546875" customWidth="1"/>
  </cols>
  <sheetData>
    <row r="1" spans="1:13" x14ac:dyDescent="0.3">
      <c r="A1" t="s">
        <v>0</v>
      </c>
      <c r="B1" t="s">
        <v>1</v>
      </c>
      <c r="C1" t="s">
        <v>2</v>
      </c>
      <c r="D1" t="s">
        <v>3</v>
      </c>
      <c r="E1" t="s">
        <v>1759</v>
      </c>
      <c r="F1" t="s">
        <v>4</v>
      </c>
      <c r="G1" t="s">
        <v>1760</v>
      </c>
      <c r="H1" t="s">
        <v>5</v>
      </c>
      <c r="I1" t="s">
        <v>1761</v>
      </c>
      <c r="J1" t="s">
        <v>6</v>
      </c>
      <c r="K1" t="s">
        <v>2221</v>
      </c>
      <c r="L1" t="s">
        <v>2222</v>
      </c>
      <c r="M1" t="s">
        <v>2223</v>
      </c>
    </row>
    <row r="2" spans="1:13" x14ac:dyDescent="0.3">
      <c r="A2" t="s">
        <v>7</v>
      </c>
      <c r="B2" t="s">
        <v>8</v>
      </c>
      <c r="C2">
        <v>130.51</v>
      </c>
      <c r="D2">
        <v>2.9999999999999997E-4</v>
      </c>
      <c r="E2">
        <v>6160000</v>
      </c>
      <c r="F2" t="s">
        <v>1762</v>
      </c>
      <c r="G2">
        <v>1520000</v>
      </c>
      <c r="H2" t="s">
        <v>1763</v>
      </c>
      <c r="I2">
        <v>47240</v>
      </c>
      <c r="J2" t="s">
        <v>13</v>
      </c>
      <c r="K2">
        <f>Cleaned_data[[#This Row],[Volume (24h) USD $]]/Cleaned_data[[#This Row],[Curculating Supply $]]</f>
        <v>32.176121930567312</v>
      </c>
      <c r="L2">
        <f>RANK(Cleaned_data[[#This Row],[Market Cap $]],Cleaned_data[Market Cap $],0)</f>
        <v>158</v>
      </c>
      <c r="M2" t="str">
        <f t="shared" ref="M2:M65" si="0">IF(C2&lt;=0.5,"0-0.5",
IF(C2&lt;=1,"0.5-1",
IF(C2&lt;=2,"1-2",
IF(C2&lt;=10,"2-10",
IF(C2&lt;=100,"10-100",
IF(C2&lt;=10000,"100-10000",
"10000+"))))))</f>
        <v>100-10000</v>
      </c>
    </row>
    <row r="3" spans="1:13" x14ac:dyDescent="0.3">
      <c r="A3" t="s">
        <v>14</v>
      </c>
      <c r="B3" t="s">
        <v>15</v>
      </c>
      <c r="C3">
        <v>64381.26</v>
      </c>
      <c r="D3">
        <v>1.6999999999999999E-3</v>
      </c>
      <c r="E3">
        <v>1290000000000</v>
      </c>
      <c r="F3" t="s">
        <v>1764</v>
      </c>
      <c r="G3">
        <v>26760000000</v>
      </c>
      <c r="H3" t="s">
        <v>1765</v>
      </c>
      <c r="I3">
        <v>20060000</v>
      </c>
      <c r="J3" t="s">
        <v>20</v>
      </c>
      <c r="K3">
        <f>Cleaned_data[[#This Row],[Volume (24h) USD $]]/Cleaned_data[[#This Row],[Curculating Supply $]]</f>
        <v>1333.9980059820539</v>
      </c>
      <c r="L3">
        <f>RANK(Cleaned_data[[#This Row],[Market Cap $]],Cleaned_data[Market Cap $],0)</f>
        <v>1</v>
      </c>
      <c r="M3" t="str">
        <f t="shared" si="0"/>
        <v>10000+</v>
      </c>
    </row>
    <row r="4" spans="1:13" x14ac:dyDescent="0.3">
      <c r="A4" t="s">
        <v>21</v>
      </c>
      <c r="B4" t="s">
        <v>22</v>
      </c>
      <c r="C4">
        <v>1908.06</v>
      </c>
      <c r="D4">
        <v>2.5000000000000001E-3</v>
      </c>
      <c r="E4">
        <v>229890000000</v>
      </c>
      <c r="F4" t="s">
        <v>1766</v>
      </c>
      <c r="G4">
        <v>8100000000</v>
      </c>
      <c r="H4" t="s">
        <v>1767</v>
      </c>
      <c r="I4">
        <v>120680000</v>
      </c>
      <c r="J4" t="s">
        <v>27</v>
      </c>
      <c r="K4">
        <f>Cleaned_data[[#This Row],[Volume (24h) USD $]]/Cleaned_data[[#This Row],[Curculating Supply $]]</f>
        <v>67.11965528670865</v>
      </c>
      <c r="L4">
        <f>RANK(Cleaned_data[[#This Row],[Market Cap $]],Cleaned_data[Market Cap $],0)</f>
        <v>2</v>
      </c>
      <c r="M4" t="str">
        <f t="shared" si="0"/>
        <v>100-10000</v>
      </c>
    </row>
    <row r="5" spans="1:13" x14ac:dyDescent="0.3">
      <c r="A5" t="s">
        <v>28</v>
      </c>
      <c r="B5" t="s">
        <v>29</v>
      </c>
      <c r="C5">
        <v>0.99909999999999999</v>
      </c>
      <c r="D5">
        <v>1E-4</v>
      </c>
      <c r="E5">
        <v>183620000000</v>
      </c>
      <c r="F5" t="s">
        <v>1768</v>
      </c>
      <c r="G5">
        <v>51600000000</v>
      </c>
      <c r="H5" t="s">
        <v>1769</v>
      </c>
      <c r="I5">
        <v>183810000000</v>
      </c>
      <c r="J5" t="s">
        <v>34</v>
      </c>
      <c r="K5">
        <f>Cleaned_data[[#This Row],[Volume (24h) USD $]]/Cleaned_data[[#This Row],[Curculating Supply $]]</f>
        <v>0.28072466133507429</v>
      </c>
      <c r="L5">
        <f>RANK(Cleaned_data[[#This Row],[Market Cap $]],Cleaned_data[Market Cap $],0)</f>
        <v>3</v>
      </c>
      <c r="M5" t="str">
        <f t="shared" si="0"/>
        <v>0.5-1</v>
      </c>
    </row>
    <row r="6" spans="1:13" x14ac:dyDescent="0.3">
      <c r="A6" t="s">
        <v>35</v>
      </c>
      <c r="B6" t="s">
        <v>35</v>
      </c>
      <c r="C6">
        <v>591.19000000000005</v>
      </c>
      <c r="D6">
        <v>2.3E-3</v>
      </c>
      <c r="E6">
        <v>78700000000</v>
      </c>
      <c r="F6" t="s">
        <v>1770</v>
      </c>
      <c r="G6">
        <v>1370000000</v>
      </c>
      <c r="H6" t="s">
        <v>1771</v>
      </c>
      <c r="I6">
        <v>133160000</v>
      </c>
      <c r="J6" t="s">
        <v>40</v>
      </c>
      <c r="K6">
        <f>Cleaned_data[[#This Row],[Volume (24h) USD $]]/Cleaned_data[[#This Row],[Curculating Supply $]]</f>
        <v>10.288374887353559</v>
      </c>
      <c r="L6">
        <f>RANK(Cleaned_data[[#This Row],[Market Cap $]],Cleaned_data[Market Cap $],0)</f>
        <v>4</v>
      </c>
      <c r="M6" t="str">
        <f t="shared" si="0"/>
        <v>100-10000</v>
      </c>
    </row>
    <row r="7" spans="1:13" x14ac:dyDescent="0.3">
      <c r="A7" t="s">
        <v>41</v>
      </c>
      <c r="B7" t="s">
        <v>41</v>
      </c>
      <c r="C7">
        <v>0.99970000000000003</v>
      </c>
      <c r="D7">
        <v>0</v>
      </c>
      <c r="E7">
        <v>71880000000</v>
      </c>
      <c r="F7" t="s">
        <v>1772</v>
      </c>
      <c r="G7">
        <v>8650000000</v>
      </c>
      <c r="H7" t="s">
        <v>1773</v>
      </c>
      <c r="I7">
        <v>71890000000</v>
      </c>
      <c r="J7" t="s">
        <v>46</v>
      </c>
      <c r="K7">
        <f>Cleaned_data[[#This Row],[Volume (24h) USD $]]/Cleaned_data[[#This Row],[Curculating Supply $]]</f>
        <v>0.12032271525942412</v>
      </c>
      <c r="L7">
        <f>RANK(Cleaned_data[[#This Row],[Market Cap $]],Cleaned_data[Market Cap $],0)</f>
        <v>5</v>
      </c>
      <c r="M7" t="str">
        <f t="shared" si="0"/>
        <v>0.5-1</v>
      </c>
    </row>
    <row r="8" spans="1:13" x14ac:dyDescent="0.3">
      <c r="A8" t="s">
        <v>47</v>
      </c>
      <c r="B8" t="s">
        <v>47</v>
      </c>
      <c r="C8">
        <v>1.08</v>
      </c>
      <c r="D8">
        <v>1.4E-3</v>
      </c>
      <c r="E8">
        <v>67610000000</v>
      </c>
      <c r="F8" t="s">
        <v>1774</v>
      </c>
      <c r="G8">
        <v>1020000000</v>
      </c>
      <c r="H8" t="s">
        <v>1775</v>
      </c>
      <c r="I8">
        <v>62530000000</v>
      </c>
      <c r="J8" t="s">
        <v>52</v>
      </c>
      <c r="K8">
        <f>Cleaned_data[[#This Row],[Volume (24h) USD $]]/Cleaned_data[[#This Row],[Curculating Supply $]]</f>
        <v>1.6312170158324004E-2</v>
      </c>
      <c r="L8">
        <f>RANK(Cleaned_data[[#This Row],[Market Cap $]],Cleaned_data[Market Cap $],0)</f>
        <v>6</v>
      </c>
      <c r="M8" t="str">
        <f t="shared" si="0"/>
        <v>1-2</v>
      </c>
    </row>
    <row r="9" spans="1:13" x14ac:dyDescent="0.3">
      <c r="A9" t="s">
        <v>53</v>
      </c>
      <c r="B9" t="s">
        <v>54</v>
      </c>
      <c r="C9">
        <v>74.28</v>
      </c>
      <c r="D9">
        <v>1.6999999999999999E-3</v>
      </c>
      <c r="E9">
        <v>43050000000</v>
      </c>
      <c r="F9" t="s">
        <v>1776</v>
      </c>
      <c r="G9">
        <v>1570000000</v>
      </c>
      <c r="H9" t="s">
        <v>1777</v>
      </c>
      <c r="I9">
        <v>579580000</v>
      </c>
      <c r="J9" t="s">
        <v>58</v>
      </c>
      <c r="K9">
        <f>Cleaned_data[[#This Row],[Volume (24h) USD $]]/Cleaned_data[[#This Row],[Curculating Supply $]]</f>
        <v>2.7088581386521273</v>
      </c>
      <c r="L9">
        <f>RANK(Cleaned_data[[#This Row],[Market Cap $]],Cleaned_data[Market Cap $],0)</f>
        <v>7</v>
      </c>
      <c r="M9" t="str">
        <f t="shared" si="0"/>
        <v>10-100</v>
      </c>
    </row>
    <row r="10" spans="1:13" x14ac:dyDescent="0.3">
      <c r="A10" t="s">
        <v>59</v>
      </c>
      <c r="B10" t="s">
        <v>60</v>
      </c>
      <c r="C10">
        <v>0.32850000000000001</v>
      </c>
      <c r="D10">
        <v>2.9999999999999997E-4</v>
      </c>
      <c r="E10">
        <v>31170000000</v>
      </c>
      <c r="F10" t="s">
        <v>1778</v>
      </c>
      <c r="G10">
        <v>439710000</v>
      </c>
      <c r="H10" t="s">
        <v>1779</v>
      </c>
      <c r="I10">
        <v>94880000000</v>
      </c>
      <c r="J10" t="s">
        <v>64</v>
      </c>
      <c r="K10">
        <f>Cleaned_data[[#This Row],[Volume (24h) USD $]]/Cleaned_data[[#This Row],[Curculating Supply $]]</f>
        <v>4.6343802698145028E-3</v>
      </c>
      <c r="L10">
        <f>RANK(Cleaned_data[[#This Row],[Market Cap $]],Cleaned_data[Market Cap $],0)</f>
        <v>8</v>
      </c>
      <c r="M10" t="str">
        <f t="shared" si="0"/>
        <v>0-0.5</v>
      </c>
    </row>
    <row r="11" spans="1:13" x14ac:dyDescent="0.3">
      <c r="A11" t="s">
        <v>65</v>
      </c>
      <c r="B11" t="s">
        <v>66</v>
      </c>
      <c r="C11">
        <v>55.55</v>
      </c>
      <c r="D11">
        <v>2.2000000000000001E-3</v>
      </c>
      <c r="E11">
        <v>14020000000</v>
      </c>
      <c r="F11" t="s">
        <v>1780</v>
      </c>
      <c r="G11">
        <v>375470000</v>
      </c>
      <c r="H11" t="s">
        <v>1781</v>
      </c>
      <c r="I11">
        <v>252510000</v>
      </c>
      <c r="J11" t="s">
        <v>71</v>
      </c>
      <c r="K11">
        <f>Cleaned_data[[#This Row],[Volume (24h) USD $]]/Cleaned_data[[#This Row],[Curculating Supply $]]</f>
        <v>1.4869510118411151</v>
      </c>
      <c r="L11">
        <f>RANK(Cleaned_data[[#This Row],[Market Cap $]],Cleaned_data[Market Cap $],0)</f>
        <v>9</v>
      </c>
      <c r="M11" t="str">
        <f t="shared" si="0"/>
        <v>10-100</v>
      </c>
    </row>
    <row r="12" spans="1:13" x14ac:dyDescent="0.3">
      <c r="A12" t="s">
        <v>72</v>
      </c>
      <c r="B12" t="s">
        <v>73</v>
      </c>
      <c r="C12">
        <v>7.0099999999999996E-2</v>
      </c>
      <c r="D12">
        <v>6.9999999999999999E-4</v>
      </c>
      <c r="E12">
        <v>10880000000</v>
      </c>
      <c r="F12" t="s">
        <v>1782</v>
      </c>
      <c r="G12">
        <v>498530000</v>
      </c>
      <c r="H12" t="s">
        <v>1783</v>
      </c>
      <c r="I12">
        <v>155290000000</v>
      </c>
      <c r="J12" t="s">
        <v>78</v>
      </c>
      <c r="K12">
        <f>Cleaned_data[[#This Row],[Volume (24h) USD $]]/Cleaned_data[[#This Row],[Curculating Supply $]]</f>
        <v>3.2103161826260544E-3</v>
      </c>
      <c r="L12">
        <f>RANK(Cleaned_data[[#This Row],[Market Cap $]],Cleaned_data[Market Cap $],0)</f>
        <v>10</v>
      </c>
      <c r="M12" t="str">
        <f t="shared" si="0"/>
        <v>0-0.5</v>
      </c>
    </row>
    <row r="13" spans="1:13" x14ac:dyDescent="0.3">
      <c r="A13" t="s">
        <v>79</v>
      </c>
      <c r="B13" t="s">
        <v>80</v>
      </c>
      <c r="C13">
        <v>9.77</v>
      </c>
      <c r="D13">
        <v>0</v>
      </c>
      <c r="E13">
        <v>8990000000</v>
      </c>
      <c r="F13" t="s">
        <v>1155</v>
      </c>
      <c r="G13">
        <v>173460</v>
      </c>
      <c r="H13" t="s">
        <v>1784</v>
      </c>
      <c r="I13">
        <v>920070000</v>
      </c>
      <c r="J13" t="s">
        <v>84</v>
      </c>
      <c r="K13">
        <f>Cleaned_data[[#This Row],[Volume (24h) USD $]]/Cleaned_data[[#This Row],[Curculating Supply $]]</f>
        <v>1.8852913365287425E-4</v>
      </c>
      <c r="L13">
        <f>RANK(Cleaned_data[[#This Row],[Market Cap $]],Cleaned_data[Market Cap $],0)</f>
        <v>12</v>
      </c>
      <c r="M13" t="str">
        <f t="shared" si="0"/>
        <v>2-10</v>
      </c>
    </row>
    <row r="14" spans="1:13" x14ac:dyDescent="0.3">
      <c r="A14" t="s">
        <v>85</v>
      </c>
      <c r="B14" t="s">
        <v>86</v>
      </c>
      <c r="C14">
        <v>461.81</v>
      </c>
      <c r="D14">
        <v>2.8999999999999998E-3</v>
      </c>
      <c r="E14">
        <v>7750000000</v>
      </c>
      <c r="F14" t="s">
        <v>1785</v>
      </c>
      <c r="G14">
        <v>292670000</v>
      </c>
      <c r="H14" t="s">
        <v>1786</v>
      </c>
      <c r="I14">
        <v>16790000</v>
      </c>
      <c r="J14" t="s">
        <v>91</v>
      </c>
      <c r="K14">
        <f>Cleaned_data[[#This Row],[Volume (24h) USD $]]/Cleaned_data[[#This Row],[Curculating Supply $]]</f>
        <v>17.431209053007741</v>
      </c>
      <c r="L14">
        <f>RANK(Cleaned_data[[#This Row],[Market Cap $]],Cleaned_data[Market Cap $],0)</f>
        <v>14</v>
      </c>
      <c r="M14" t="str">
        <f t="shared" si="0"/>
        <v>100-10000</v>
      </c>
    </row>
    <row r="15" spans="1:13" x14ac:dyDescent="0.3">
      <c r="A15" t="s">
        <v>92</v>
      </c>
      <c r="B15" t="s">
        <v>93</v>
      </c>
      <c r="C15">
        <v>353.61</v>
      </c>
      <c r="D15">
        <v>5.7000000000000002E-3</v>
      </c>
      <c r="E15">
        <v>6640000000</v>
      </c>
      <c r="F15" t="s">
        <v>1787</v>
      </c>
      <c r="G15">
        <v>103230000</v>
      </c>
      <c r="H15" t="s">
        <v>1788</v>
      </c>
      <c r="I15">
        <v>18780000</v>
      </c>
      <c r="J15" t="s">
        <v>98</v>
      </c>
      <c r="K15">
        <f>Cleaned_data[[#This Row],[Volume (24h) USD $]]/Cleaned_data[[#This Row],[Curculating Supply $]]</f>
        <v>5.4968051118210859</v>
      </c>
      <c r="L15">
        <f>RANK(Cleaned_data[[#This Row],[Market Cap $]],Cleaned_data[Market Cap $],0)</f>
        <v>15</v>
      </c>
      <c r="M15" t="str">
        <f t="shared" si="0"/>
        <v>100-10000</v>
      </c>
    </row>
    <row r="16" spans="1:13" x14ac:dyDescent="0.3">
      <c r="A16" t="s">
        <v>99</v>
      </c>
      <c r="B16" t="s">
        <v>100</v>
      </c>
      <c r="C16">
        <v>8.36</v>
      </c>
      <c r="D16">
        <v>1.1000000000000001E-3</v>
      </c>
      <c r="E16">
        <v>6250000000</v>
      </c>
      <c r="F16" t="s">
        <v>1789</v>
      </c>
      <c r="G16">
        <v>208380000</v>
      </c>
      <c r="H16" t="s">
        <v>1790</v>
      </c>
      <c r="I16">
        <v>748090000</v>
      </c>
      <c r="J16" t="s">
        <v>105</v>
      </c>
      <c r="K16">
        <f>Cleaned_data[[#This Row],[Volume (24h) USD $]]/Cleaned_data[[#This Row],[Curculating Supply $]]</f>
        <v>0.27854937240171634</v>
      </c>
      <c r="L16">
        <f>RANK(Cleaned_data[[#This Row],[Market Cap $]],Cleaned_data[Market Cap $],0)</f>
        <v>16</v>
      </c>
      <c r="M16" t="str">
        <f t="shared" si="0"/>
        <v>2-10</v>
      </c>
    </row>
    <row r="17" spans="1:13" x14ac:dyDescent="0.3">
      <c r="A17" t="s">
        <v>106</v>
      </c>
      <c r="B17" t="s">
        <v>106</v>
      </c>
      <c r="C17">
        <v>1.1399999999999999</v>
      </c>
      <c r="D17">
        <v>1.41E-2</v>
      </c>
      <c r="E17">
        <v>276990000</v>
      </c>
      <c r="F17" t="s">
        <v>1791</v>
      </c>
      <c r="G17">
        <v>116250000</v>
      </c>
      <c r="H17" t="s">
        <v>1792</v>
      </c>
      <c r="I17">
        <v>241380000</v>
      </c>
      <c r="J17" t="s">
        <v>111</v>
      </c>
      <c r="K17">
        <f>Cleaned_data[[#This Row],[Volume (24h) USD $]]/Cleaned_data[[#This Row],[Curculating Supply $]]</f>
        <v>0.48160576684066619</v>
      </c>
      <c r="L17">
        <f>RANK(Cleaned_data[[#This Row],[Market Cap $]],Cleaned_data[Market Cap $],0)</f>
        <v>27</v>
      </c>
      <c r="M17" t="str">
        <f t="shared" si="0"/>
        <v>1-2</v>
      </c>
    </row>
    <row r="18" spans="1:13" x14ac:dyDescent="0.3">
      <c r="A18" t="s">
        <v>112</v>
      </c>
      <c r="B18" t="s">
        <v>113</v>
      </c>
      <c r="C18">
        <v>0.73440000000000005</v>
      </c>
      <c r="D18">
        <v>5.4000000000000003E-3</v>
      </c>
      <c r="E18">
        <v>266790000.00000003</v>
      </c>
      <c r="F18" t="s">
        <v>1793</v>
      </c>
      <c r="G18">
        <v>21960000</v>
      </c>
      <c r="H18" t="s">
        <v>1794</v>
      </c>
      <c r="I18">
        <v>363280000</v>
      </c>
      <c r="J18" t="s">
        <v>118</v>
      </c>
      <c r="K18">
        <f>Cleaned_data[[#This Row],[Volume (24h) USD $]]/Cleaned_data[[#This Row],[Curculating Supply $]]</f>
        <v>6.0449240255450343E-2</v>
      </c>
      <c r="L18">
        <f>RANK(Cleaned_data[[#This Row],[Market Cap $]],Cleaned_data[Market Cap $],0)</f>
        <v>28</v>
      </c>
      <c r="M18" t="str">
        <f t="shared" si="0"/>
        <v>0.5-1</v>
      </c>
    </row>
    <row r="19" spans="1:13" x14ac:dyDescent="0.3">
      <c r="A19" t="s">
        <v>119</v>
      </c>
      <c r="B19" t="s">
        <v>120</v>
      </c>
      <c r="C19">
        <v>6.2700000000000006E-2</v>
      </c>
      <c r="D19">
        <v>4.7999999999999996E-3</v>
      </c>
      <c r="E19">
        <v>263980000.00000003</v>
      </c>
      <c r="F19" t="s">
        <v>1795</v>
      </c>
      <c r="G19">
        <v>5860000</v>
      </c>
      <c r="H19" t="s">
        <v>1796</v>
      </c>
      <c r="I19">
        <v>990100000000000</v>
      </c>
      <c r="J19" t="s">
        <v>125</v>
      </c>
      <c r="K19">
        <f>Cleaned_data[[#This Row],[Volume (24h) USD $]]/Cleaned_data[[#This Row],[Curculating Supply $]]</f>
        <v>5.9185940814059183E-9</v>
      </c>
      <c r="L19">
        <f>RANK(Cleaned_data[[#This Row],[Market Cap $]],Cleaned_data[Market Cap $],0)</f>
        <v>30</v>
      </c>
      <c r="M19" t="str">
        <f t="shared" si="0"/>
        <v>0-0.5</v>
      </c>
    </row>
    <row r="20" spans="1:13" x14ac:dyDescent="0.3">
      <c r="A20" t="s">
        <v>126</v>
      </c>
      <c r="B20" t="s">
        <v>127</v>
      </c>
      <c r="C20">
        <v>6.2600000000000003E-2</v>
      </c>
      <c r="D20">
        <v>1.1999999999999999E-3</v>
      </c>
      <c r="E20">
        <v>258459999.99999997</v>
      </c>
      <c r="F20" t="s">
        <v>1797</v>
      </c>
      <c r="G20">
        <v>4230000</v>
      </c>
      <c r="H20" t="s">
        <v>1798</v>
      </c>
      <c r="I20">
        <v>987030000000000</v>
      </c>
      <c r="J20" t="s">
        <v>132</v>
      </c>
      <c r="K20">
        <f>Cleaned_data[[#This Row],[Volume (24h) USD $]]/Cleaned_data[[#This Row],[Curculating Supply $]]</f>
        <v>4.2855840248016781E-9</v>
      </c>
      <c r="L20">
        <f>RANK(Cleaned_data[[#This Row],[Market Cap $]],Cleaned_data[Market Cap $],0)</f>
        <v>31</v>
      </c>
      <c r="M20" t="str">
        <f t="shared" si="0"/>
        <v>0-0.5</v>
      </c>
    </row>
    <row r="21" spans="1:13" x14ac:dyDescent="0.3">
      <c r="A21" t="s">
        <v>133</v>
      </c>
      <c r="B21" t="s">
        <v>134</v>
      </c>
      <c r="C21">
        <v>0.5111</v>
      </c>
      <c r="D21">
        <v>1.1299999999999999E-2</v>
      </c>
      <c r="E21">
        <v>257899999.99999997</v>
      </c>
      <c r="F21" t="s">
        <v>1799</v>
      </c>
      <c r="G21">
        <v>27690000</v>
      </c>
      <c r="H21" t="s">
        <v>1800</v>
      </c>
      <c r="I21">
        <v>504560000</v>
      </c>
      <c r="J21" t="s">
        <v>139</v>
      </c>
      <c r="K21">
        <f>Cleaned_data[[#This Row],[Volume (24h) USD $]]/Cleaned_data[[#This Row],[Curculating Supply $]]</f>
        <v>5.4879498969399081E-2</v>
      </c>
      <c r="L21">
        <f>RANK(Cleaned_data[[#This Row],[Market Cap $]],Cleaned_data[Market Cap $],0)</f>
        <v>32</v>
      </c>
      <c r="M21" t="str">
        <f t="shared" si="0"/>
        <v>0.5-1</v>
      </c>
    </row>
    <row r="22" spans="1:13" x14ac:dyDescent="0.3">
      <c r="A22" t="s">
        <v>140</v>
      </c>
      <c r="B22" t="s">
        <v>141</v>
      </c>
      <c r="C22">
        <v>0.1384</v>
      </c>
      <c r="D22">
        <v>2.9999999999999997E-4</v>
      </c>
      <c r="E22">
        <v>251190000</v>
      </c>
      <c r="F22" t="s">
        <v>1801</v>
      </c>
      <c r="G22">
        <v>5300000</v>
      </c>
      <c r="H22" t="s">
        <v>1802</v>
      </c>
      <c r="I22">
        <v>1810000000</v>
      </c>
      <c r="J22" t="s">
        <v>145</v>
      </c>
      <c r="K22">
        <f>Cleaned_data[[#This Row],[Volume (24h) USD $]]/Cleaned_data[[#This Row],[Curculating Supply $]]</f>
        <v>2.9281767955801107E-3</v>
      </c>
      <c r="L22">
        <f>RANK(Cleaned_data[[#This Row],[Market Cap $]],Cleaned_data[Market Cap $],0)</f>
        <v>33</v>
      </c>
      <c r="M22" t="str">
        <f t="shared" si="0"/>
        <v>0-0.5</v>
      </c>
    </row>
    <row r="23" spans="1:13" x14ac:dyDescent="0.3">
      <c r="A23" t="s">
        <v>146</v>
      </c>
      <c r="B23" t="s">
        <v>147</v>
      </c>
      <c r="C23">
        <v>12.49</v>
      </c>
      <c r="D23">
        <v>2.2000000000000001E-3</v>
      </c>
      <c r="E23">
        <v>250730000</v>
      </c>
      <c r="F23" t="s">
        <v>1803</v>
      </c>
      <c r="G23">
        <v>7600000</v>
      </c>
      <c r="H23" t="s">
        <v>1804</v>
      </c>
      <c r="I23">
        <v>20060000</v>
      </c>
      <c r="J23" t="s">
        <v>20</v>
      </c>
      <c r="K23">
        <f>Cleaned_data[[#This Row],[Volume (24h) USD $]]/Cleaned_data[[#This Row],[Curculating Supply $]]</f>
        <v>0.37886340977068794</v>
      </c>
      <c r="L23">
        <f>RANK(Cleaned_data[[#This Row],[Market Cap $]],Cleaned_data[Market Cap $],0)</f>
        <v>34</v>
      </c>
      <c r="M23" t="str">
        <f t="shared" si="0"/>
        <v>10-100</v>
      </c>
    </row>
    <row r="24" spans="1:13" x14ac:dyDescent="0.3">
      <c r="A24" t="s">
        <v>151</v>
      </c>
      <c r="B24" t="s">
        <v>152</v>
      </c>
      <c r="C24">
        <v>2.12E-2</v>
      </c>
      <c r="D24">
        <v>8.6E-3</v>
      </c>
      <c r="E24">
        <v>250430000</v>
      </c>
      <c r="F24" t="s">
        <v>1805</v>
      </c>
      <c r="G24">
        <v>14970000</v>
      </c>
      <c r="H24" t="s">
        <v>1806</v>
      </c>
      <c r="I24">
        <v>11820000000</v>
      </c>
      <c r="J24" t="s">
        <v>157</v>
      </c>
      <c r="K24">
        <f>Cleaned_data[[#This Row],[Volume (24h) USD $]]/Cleaned_data[[#This Row],[Curculating Supply $]]</f>
        <v>1.266497461928934E-3</v>
      </c>
      <c r="L24">
        <f>RANK(Cleaned_data[[#This Row],[Market Cap $]],Cleaned_data[Market Cap $],0)</f>
        <v>35</v>
      </c>
      <c r="M24" t="str">
        <f t="shared" si="0"/>
        <v>0-0.5</v>
      </c>
    </row>
    <row r="25" spans="1:13" x14ac:dyDescent="0.3">
      <c r="A25" t="s">
        <v>158</v>
      </c>
      <c r="B25" t="s">
        <v>159</v>
      </c>
      <c r="C25">
        <v>5.28E-2</v>
      </c>
      <c r="D25">
        <v>5.1999999999999998E-3</v>
      </c>
      <c r="E25">
        <v>250230000</v>
      </c>
      <c r="F25" t="s">
        <v>1807</v>
      </c>
      <c r="G25">
        <v>30420000</v>
      </c>
      <c r="H25" t="s">
        <v>1808</v>
      </c>
      <c r="I25">
        <v>87990000000000</v>
      </c>
      <c r="J25" t="s">
        <v>164</v>
      </c>
      <c r="K25">
        <f>Cleaned_data[[#This Row],[Volume (24h) USD $]]/Cleaned_data[[#This Row],[Curculating Supply $]]</f>
        <v>3.4572110467098534E-7</v>
      </c>
      <c r="L25">
        <f>RANK(Cleaned_data[[#This Row],[Market Cap $]],Cleaned_data[Market Cap $],0)</f>
        <v>36</v>
      </c>
      <c r="M25" t="str">
        <f t="shared" si="0"/>
        <v>0-0.5</v>
      </c>
    </row>
    <row r="26" spans="1:13" x14ac:dyDescent="0.3">
      <c r="A26" t="s">
        <v>165</v>
      </c>
      <c r="B26" t="s">
        <v>166</v>
      </c>
      <c r="C26">
        <v>1.42</v>
      </c>
      <c r="D26">
        <v>1.5E-3</v>
      </c>
      <c r="E26">
        <v>244250000</v>
      </c>
      <c r="F26" t="s">
        <v>1809</v>
      </c>
      <c r="G26">
        <v>24690000</v>
      </c>
      <c r="H26" t="s">
        <v>1810</v>
      </c>
      <c r="I26">
        <v>171750000</v>
      </c>
      <c r="J26" t="s">
        <v>171</v>
      </c>
      <c r="K26">
        <f>Cleaned_data[[#This Row],[Volume (24h) USD $]]/Cleaned_data[[#This Row],[Curculating Supply $]]</f>
        <v>0.14375545851528385</v>
      </c>
      <c r="L26">
        <f>RANK(Cleaned_data[[#This Row],[Market Cap $]],Cleaned_data[Market Cap $],0)</f>
        <v>37</v>
      </c>
      <c r="M26" t="str">
        <f t="shared" si="0"/>
        <v>1-2</v>
      </c>
    </row>
    <row r="27" spans="1:13" x14ac:dyDescent="0.3">
      <c r="A27" t="s">
        <v>172</v>
      </c>
      <c r="B27" t="s">
        <v>173</v>
      </c>
      <c r="C27">
        <v>4.58E-2</v>
      </c>
      <c r="D27">
        <v>1.6000000000000001E-3</v>
      </c>
      <c r="E27">
        <v>239580000</v>
      </c>
      <c r="F27" t="s">
        <v>1811</v>
      </c>
      <c r="G27">
        <v>33710000</v>
      </c>
      <c r="H27" t="s">
        <v>1812</v>
      </c>
      <c r="I27">
        <v>5220000000</v>
      </c>
      <c r="J27" t="s">
        <v>178</v>
      </c>
      <c r="K27">
        <f>Cleaned_data[[#This Row],[Volume (24h) USD $]]/Cleaned_data[[#This Row],[Curculating Supply $]]</f>
        <v>6.4578544061302682E-3</v>
      </c>
      <c r="L27">
        <f>RANK(Cleaned_data[[#This Row],[Market Cap $]],Cleaned_data[Market Cap $],0)</f>
        <v>38</v>
      </c>
      <c r="M27" t="str">
        <f t="shared" si="0"/>
        <v>0-0.5</v>
      </c>
    </row>
    <row r="28" spans="1:13" x14ac:dyDescent="0.3">
      <c r="A28" t="s">
        <v>179</v>
      </c>
      <c r="B28" t="s">
        <v>180</v>
      </c>
      <c r="C28">
        <v>13.65</v>
      </c>
      <c r="D28">
        <v>1.4E-2</v>
      </c>
      <c r="E28">
        <v>239470000</v>
      </c>
      <c r="F28" t="s">
        <v>1813</v>
      </c>
      <c r="G28">
        <v>4530000</v>
      </c>
      <c r="H28" t="s">
        <v>1814</v>
      </c>
      <c r="I28">
        <v>17530000</v>
      </c>
      <c r="J28" t="s">
        <v>185</v>
      </c>
      <c r="K28">
        <f>Cleaned_data[[#This Row],[Volume (24h) USD $]]/Cleaned_data[[#This Row],[Curculating Supply $]]</f>
        <v>0.25841414717626926</v>
      </c>
      <c r="L28">
        <f>RANK(Cleaned_data[[#This Row],[Market Cap $]],Cleaned_data[Market Cap $],0)</f>
        <v>39</v>
      </c>
      <c r="M28" t="str">
        <f t="shared" si="0"/>
        <v>10-100</v>
      </c>
    </row>
    <row r="29" spans="1:13" x14ac:dyDescent="0.3">
      <c r="A29" t="s">
        <v>186</v>
      </c>
      <c r="B29" t="s">
        <v>187</v>
      </c>
      <c r="C29">
        <v>0.20399999999999999</v>
      </c>
      <c r="D29">
        <v>2.3E-3</v>
      </c>
      <c r="E29">
        <v>222830000</v>
      </c>
      <c r="F29" t="s">
        <v>1815</v>
      </c>
      <c r="G29">
        <v>4440000</v>
      </c>
      <c r="H29" t="s">
        <v>1816</v>
      </c>
      <c r="I29">
        <v>1090000000</v>
      </c>
      <c r="J29" t="s">
        <v>191</v>
      </c>
      <c r="K29">
        <f>Cleaned_data[[#This Row],[Volume (24h) USD $]]/Cleaned_data[[#This Row],[Curculating Supply $]]</f>
        <v>4.0733944954128437E-3</v>
      </c>
      <c r="L29">
        <f>RANK(Cleaned_data[[#This Row],[Market Cap $]],Cleaned_data[Market Cap $],0)</f>
        <v>40</v>
      </c>
      <c r="M29" t="str">
        <f t="shared" si="0"/>
        <v>0-0.5</v>
      </c>
    </row>
    <row r="30" spans="1:13" x14ac:dyDescent="0.3">
      <c r="A30" t="s">
        <v>192</v>
      </c>
      <c r="B30" t="s">
        <v>193</v>
      </c>
      <c r="C30">
        <v>0.1076</v>
      </c>
      <c r="D30">
        <v>4.1999999999999997E-3</v>
      </c>
      <c r="E30">
        <v>215370000</v>
      </c>
      <c r="F30" t="s">
        <v>1817</v>
      </c>
      <c r="G30">
        <v>8590000</v>
      </c>
      <c r="H30" t="s">
        <v>1818</v>
      </c>
      <c r="I30">
        <v>2000000000</v>
      </c>
      <c r="J30" t="s">
        <v>198</v>
      </c>
      <c r="K30">
        <f>Cleaned_data[[#This Row],[Volume (24h) USD $]]/Cleaned_data[[#This Row],[Curculating Supply $]]</f>
        <v>4.2950000000000002E-3</v>
      </c>
      <c r="L30">
        <f>RANK(Cleaned_data[[#This Row],[Market Cap $]],Cleaned_data[Market Cap $],0)</f>
        <v>41</v>
      </c>
      <c r="M30" t="str">
        <f t="shared" si="0"/>
        <v>0-0.5</v>
      </c>
    </row>
    <row r="31" spans="1:13" x14ac:dyDescent="0.3">
      <c r="A31" t="s">
        <v>199</v>
      </c>
      <c r="B31" t="s">
        <v>200</v>
      </c>
      <c r="C31">
        <v>4.3E-3</v>
      </c>
      <c r="D31">
        <v>2.8999999999999998E-3</v>
      </c>
      <c r="E31">
        <v>215040000</v>
      </c>
      <c r="F31" t="s">
        <v>1819</v>
      </c>
      <c r="G31">
        <v>6610000</v>
      </c>
      <c r="H31" t="s">
        <v>1820</v>
      </c>
      <c r="I31">
        <v>49440000000</v>
      </c>
      <c r="J31" t="s">
        <v>204</v>
      </c>
      <c r="K31">
        <f>Cleaned_data[[#This Row],[Volume (24h) USD $]]/Cleaned_data[[#This Row],[Curculating Supply $]]</f>
        <v>1.3369741100323625E-4</v>
      </c>
      <c r="L31">
        <f>RANK(Cleaned_data[[#This Row],[Market Cap $]],Cleaned_data[Market Cap $],0)</f>
        <v>42</v>
      </c>
      <c r="M31" t="str">
        <f t="shared" si="0"/>
        <v>0-0.5</v>
      </c>
    </row>
    <row r="32" spans="1:13" x14ac:dyDescent="0.3">
      <c r="A32" t="s">
        <v>205</v>
      </c>
      <c r="B32" t="s">
        <v>206</v>
      </c>
      <c r="C32">
        <v>1.3100000000000001E-2</v>
      </c>
      <c r="D32">
        <v>4.0000000000000002E-4</v>
      </c>
      <c r="E32">
        <v>9120000000</v>
      </c>
      <c r="F32" t="s">
        <v>1821</v>
      </c>
      <c r="G32">
        <v>29510000</v>
      </c>
      <c r="H32" t="s">
        <v>1822</v>
      </c>
      <c r="I32">
        <v>694570000000</v>
      </c>
      <c r="J32" t="s">
        <v>211</v>
      </c>
      <c r="K32">
        <f>Cleaned_data[[#This Row],[Volume (24h) USD $]]/Cleaned_data[[#This Row],[Curculating Supply $]]</f>
        <v>4.248671840131304E-5</v>
      </c>
      <c r="L32">
        <f>RANK(Cleaned_data[[#This Row],[Market Cap $]],Cleaned_data[Market Cap $],0)</f>
        <v>11</v>
      </c>
      <c r="M32" t="str">
        <f t="shared" si="0"/>
        <v>0-0.5</v>
      </c>
    </row>
    <row r="33" spans="1:13" x14ac:dyDescent="0.3">
      <c r="A33" t="s">
        <v>212</v>
      </c>
      <c r="B33" t="s">
        <v>213</v>
      </c>
      <c r="C33">
        <v>0.74590000000000001</v>
      </c>
      <c r="D33">
        <v>2.3E-3</v>
      </c>
      <c r="E33">
        <v>8289999999.999999</v>
      </c>
      <c r="F33" t="s">
        <v>1823</v>
      </c>
      <c r="G33">
        <v>242050</v>
      </c>
      <c r="H33" t="s">
        <v>1824</v>
      </c>
      <c r="I33">
        <v>11120000000</v>
      </c>
      <c r="J33" t="s">
        <v>217</v>
      </c>
      <c r="K33">
        <f>Cleaned_data[[#This Row],[Volume (24h) USD $]]/Cleaned_data[[#This Row],[Curculating Supply $]]</f>
        <v>2.1767086330935253E-5</v>
      </c>
      <c r="L33">
        <f>RANK(Cleaned_data[[#This Row],[Market Cap $]],Cleaned_data[Market Cap $],0)</f>
        <v>13</v>
      </c>
      <c r="M33" t="str">
        <f t="shared" si="0"/>
        <v>0.5-1</v>
      </c>
    </row>
    <row r="34" spans="1:13" x14ac:dyDescent="0.3">
      <c r="A34" t="s">
        <v>218</v>
      </c>
      <c r="B34" t="s">
        <v>219</v>
      </c>
      <c r="C34">
        <v>1.1399999999999999</v>
      </c>
      <c r="D34">
        <v>2.9999999999999997E-4</v>
      </c>
      <c r="E34">
        <v>2150000000</v>
      </c>
      <c r="F34" t="s">
        <v>1825</v>
      </c>
      <c r="G34">
        <v>467840</v>
      </c>
      <c r="H34" t="s">
        <v>1826</v>
      </c>
      <c r="I34">
        <v>1880000000</v>
      </c>
      <c r="J34" t="s">
        <v>222</v>
      </c>
      <c r="K34">
        <f>Cleaned_data[[#This Row],[Volume (24h) USD $]]/Cleaned_data[[#This Row],[Curculating Supply $]]</f>
        <v>2.4885106382978723E-4</v>
      </c>
      <c r="L34">
        <f>RANK(Cleaned_data[[#This Row],[Market Cap $]],Cleaned_data[Market Cap $],0)</f>
        <v>17</v>
      </c>
      <c r="M34" t="str">
        <f t="shared" si="0"/>
        <v>1-2</v>
      </c>
    </row>
    <row r="35" spans="1:13" x14ac:dyDescent="0.3">
      <c r="A35" t="s">
        <v>223</v>
      </c>
      <c r="B35" t="s">
        <v>223</v>
      </c>
      <c r="C35">
        <v>5.1799999999999999E-2</v>
      </c>
      <c r="D35">
        <v>2.0000000000000001E-4</v>
      </c>
      <c r="E35">
        <v>1610000000</v>
      </c>
      <c r="F35" t="s">
        <v>1533</v>
      </c>
      <c r="G35">
        <v>46150000</v>
      </c>
      <c r="H35" t="s">
        <v>1827</v>
      </c>
      <c r="I35">
        <v>898230000000000</v>
      </c>
      <c r="J35" t="s">
        <v>228</v>
      </c>
      <c r="K35">
        <f>Cleaned_data[[#This Row],[Volume (24h) USD $]]/Cleaned_data[[#This Row],[Curculating Supply $]]</f>
        <v>5.1378822795943132E-8</v>
      </c>
      <c r="L35">
        <f>RANK(Cleaned_data[[#This Row],[Market Cap $]],Cleaned_data[Market Cap $],0)</f>
        <v>18</v>
      </c>
      <c r="M35" t="str">
        <f t="shared" si="0"/>
        <v>0-0.5</v>
      </c>
    </row>
    <row r="36" spans="1:13" x14ac:dyDescent="0.3">
      <c r="A36" t="s">
        <v>229</v>
      </c>
      <c r="B36" t="s">
        <v>230</v>
      </c>
      <c r="C36">
        <v>0.99529999999999996</v>
      </c>
      <c r="D36">
        <v>4.0000000000000002E-4</v>
      </c>
      <c r="E36">
        <v>1250000000</v>
      </c>
      <c r="F36" t="s">
        <v>1828</v>
      </c>
      <c r="G36">
        <v>542980</v>
      </c>
      <c r="H36" t="s">
        <v>1829</v>
      </c>
      <c r="I36">
        <v>1260000000</v>
      </c>
      <c r="J36" t="s">
        <v>234</v>
      </c>
      <c r="K36">
        <f>Cleaned_data[[#This Row],[Volume (24h) USD $]]/Cleaned_data[[#This Row],[Curculating Supply $]]</f>
        <v>4.3093650793650794E-4</v>
      </c>
      <c r="L36">
        <f>RANK(Cleaned_data[[#This Row],[Market Cap $]],Cleaned_data[Market Cap $],0)</f>
        <v>19</v>
      </c>
      <c r="M36" t="str">
        <f t="shared" si="0"/>
        <v>0.5-1</v>
      </c>
    </row>
    <row r="37" spans="1:13" x14ac:dyDescent="0.3">
      <c r="A37" t="s">
        <v>235</v>
      </c>
      <c r="B37" t="s">
        <v>235</v>
      </c>
      <c r="C37">
        <v>0.99990000000000001</v>
      </c>
      <c r="D37">
        <v>0</v>
      </c>
      <c r="E37">
        <v>1100000000</v>
      </c>
      <c r="F37" t="s">
        <v>239</v>
      </c>
      <c r="G37">
        <v>17100000</v>
      </c>
      <c r="H37" t="s">
        <v>1830</v>
      </c>
      <c r="I37">
        <v>1100000000</v>
      </c>
      <c r="J37" t="s">
        <v>239</v>
      </c>
      <c r="K37">
        <f>Cleaned_data[[#This Row],[Volume (24h) USD $]]/Cleaned_data[[#This Row],[Curculating Supply $]]</f>
        <v>1.5545454545454545E-2</v>
      </c>
      <c r="L37">
        <f>RANK(Cleaned_data[[#This Row],[Market Cap $]],Cleaned_data[Market Cap $],0)</f>
        <v>20</v>
      </c>
      <c r="M37" t="str">
        <f t="shared" si="0"/>
        <v>0.5-1</v>
      </c>
    </row>
    <row r="38" spans="1:13" x14ac:dyDescent="0.3">
      <c r="A38" t="s">
        <v>240</v>
      </c>
      <c r="B38" t="s">
        <v>241</v>
      </c>
      <c r="C38">
        <v>0.19550000000000001</v>
      </c>
      <c r="D38">
        <v>4.0000000000000002E-4</v>
      </c>
      <c r="E38">
        <v>872040000</v>
      </c>
      <c r="F38" t="s">
        <v>1831</v>
      </c>
      <c r="G38">
        <v>14760000</v>
      </c>
      <c r="H38" t="s">
        <v>1832</v>
      </c>
      <c r="I38">
        <v>4450000000</v>
      </c>
      <c r="J38" t="s">
        <v>245</v>
      </c>
      <c r="K38">
        <f>Cleaned_data[[#This Row],[Volume (24h) USD $]]/Cleaned_data[[#This Row],[Curculating Supply $]]</f>
        <v>3.3168539325842696E-3</v>
      </c>
      <c r="L38">
        <f>RANK(Cleaned_data[[#This Row],[Market Cap $]],Cleaned_data[Market Cap $],0)</f>
        <v>21</v>
      </c>
      <c r="M38" t="str">
        <f t="shared" si="0"/>
        <v>0-0.5</v>
      </c>
    </row>
    <row r="39" spans="1:13" x14ac:dyDescent="0.3">
      <c r="A39" t="s">
        <v>246</v>
      </c>
      <c r="B39" t="s">
        <v>247</v>
      </c>
      <c r="C39">
        <v>3.6</v>
      </c>
      <c r="D39">
        <v>1E-3</v>
      </c>
      <c r="E39">
        <v>808540000</v>
      </c>
      <c r="F39" t="s">
        <v>1833</v>
      </c>
      <c r="G39">
        <v>1890000</v>
      </c>
      <c r="H39" t="s">
        <v>1834</v>
      </c>
      <c r="I39">
        <v>224170000</v>
      </c>
      <c r="J39" t="s">
        <v>252</v>
      </c>
      <c r="K39">
        <f>Cleaned_data[[#This Row],[Volume (24h) USD $]]/Cleaned_data[[#This Row],[Curculating Supply $]]</f>
        <v>8.4311013962617663E-3</v>
      </c>
      <c r="L39">
        <f>RANK(Cleaned_data[[#This Row],[Market Cap $]],Cleaned_data[Market Cap $],0)</f>
        <v>22</v>
      </c>
      <c r="M39" t="str">
        <f t="shared" si="0"/>
        <v>2-10</v>
      </c>
    </row>
    <row r="40" spans="1:13" x14ac:dyDescent="0.3">
      <c r="A40" t="s">
        <v>253</v>
      </c>
      <c r="B40" t="s">
        <v>254</v>
      </c>
      <c r="C40">
        <v>8.2699999999999996E-2</v>
      </c>
      <c r="D40">
        <v>6.4999999999999997E-3</v>
      </c>
      <c r="E40">
        <v>650920000</v>
      </c>
      <c r="F40" t="s">
        <v>1835</v>
      </c>
      <c r="G40">
        <v>11890000</v>
      </c>
      <c r="H40" t="s">
        <v>1836</v>
      </c>
      <c r="I40">
        <v>7860000000</v>
      </c>
      <c r="J40" t="s">
        <v>259</v>
      </c>
      <c r="K40">
        <f>Cleaned_data[[#This Row],[Volume (24h) USD $]]/Cleaned_data[[#This Row],[Curculating Supply $]]</f>
        <v>1.5127226463104327E-3</v>
      </c>
      <c r="L40">
        <f>RANK(Cleaned_data[[#This Row],[Market Cap $]],Cleaned_data[Market Cap $],0)</f>
        <v>23</v>
      </c>
      <c r="M40" t="str">
        <f t="shared" si="0"/>
        <v>0-0.5</v>
      </c>
    </row>
    <row r="41" spans="1:13" x14ac:dyDescent="0.3">
      <c r="A41" t="s">
        <v>260</v>
      </c>
      <c r="B41" t="s">
        <v>260</v>
      </c>
      <c r="C41">
        <v>0.99829999999999997</v>
      </c>
      <c r="D41">
        <v>0</v>
      </c>
      <c r="E41">
        <v>647930000</v>
      </c>
      <c r="F41" t="s">
        <v>1837</v>
      </c>
      <c r="G41">
        <v>367720</v>
      </c>
      <c r="H41" t="s">
        <v>1838</v>
      </c>
      <c r="I41">
        <v>649000000</v>
      </c>
      <c r="J41" t="s">
        <v>264</v>
      </c>
      <c r="K41">
        <f>Cleaned_data[[#This Row],[Volume (24h) USD $]]/Cleaned_data[[#This Row],[Curculating Supply $]]</f>
        <v>5.6659476117103236E-4</v>
      </c>
      <c r="L41">
        <f>RANK(Cleaned_data[[#This Row],[Market Cap $]],Cleaned_data[Market Cap $],0)</f>
        <v>24</v>
      </c>
      <c r="M41" t="str">
        <f t="shared" si="0"/>
        <v>0.5-1</v>
      </c>
    </row>
    <row r="42" spans="1:13" x14ac:dyDescent="0.3">
      <c r="A42" t="s">
        <v>271</v>
      </c>
      <c r="B42" t="s">
        <v>272</v>
      </c>
      <c r="C42">
        <v>1</v>
      </c>
      <c r="D42">
        <v>2.0000000000000001E-4</v>
      </c>
      <c r="E42">
        <v>524710000.00000006</v>
      </c>
      <c r="F42" t="s">
        <v>1839</v>
      </c>
      <c r="G42">
        <v>41450000</v>
      </c>
      <c r="H42" t="s">
        <v>1840</v>
      </c>
      <c r="I42">
        <v>523179999.99999994</v>
      </c>
      <c r="J42" t="s">
        <v>276</v>
      </c>
      <c r="K42">
        <f>Cleaned_data[[#This Row],[Volume (24h) USD $]]/Cleaned_data[[#This Row],[Curculating Supply $]]</f>
        <v>7.922703467257923E-2</v>
      </c>
      <c r="L42">
        <f>RANK(Cleaned_data[[#This Row],[Market Cap $]],Cleaned_data[Market Cap $],0)</f>
        <v>25</v>
      </c>
      <c r="M42" t="str">
        <f t="shared" si="0"/>
        <v>0.5-1</v>
      </c>
    </row>
    <row r="43" spans="1:13" x14ac:dyDescent="0.3">
      <c r="A43" t="s">
        <v>282</v>
      </c>
      <c r="B43" t="s">
        <v>283</v>
      </c>
      <c r="C43">
        <v>0.1618</v>
      </c>
      <c r="D43">
        <v>1.23E-2</v>
      </c>
      <c r="E43">
        <v>404580000</v>
      </c>
      <c r="F43" t="s">
        <v>1841</v>
      </c>
      <c r="G43">
        <v>14500000</v>
      </c>
      <c r="H43" t="s">
        <v>1842</v>
      </c>
      <c r="I43">
        <v>2500000000</v>
      </c>
      <c r="J43" t="s">
        <v>288</v>
      </c>
      <c r="K43">
        <f>Cleaned_data[[#This Row],[Volume (24h) USD $]]/Cleaned_data[[#This Row],[Curculating Supply $]]</f>
        <v>5.7999999999999996E-3</v>
      </c>
      <c r="L43">
        <f>RANK(Cleaned_data[[#This Row],[Market Cap $]],Cleaned_data[Market Cap $],0)</f>
        <v>26</v>
      </c>
      <c r="M43" t="str">
        <f t="shared" si="0"/>
        <v>0-0.5</v>
      </c>
    </row>
    <row r="44" spans="1:13" x14ac:dyDescent="0.3">
      <c r="A44" t="s">
        <v>289</v>
      </c>
      <c r="B44" t="s">
        <v>290</v>
      </c>
      <c r="C44">
        <v>5.9999999999999995E-4</v>
      </c>
      <c r="D44">
        <v>2.0000000000000001E-4</v>
      </c>
      <c r="E44">
        <v>266070000</v>
      </c>
      <c r="F44" t="s">
        <v>1843</v>
      </c>
      <c r="G44">
        <v>740.5</v>
      </c>
      <c r="H44" t="s">
        <v>1844</v>
      </c>
      <c r="I44">
        <v>414400000000</v>
      </c>
      <c r="J44" t="s">
        <v>294</v>
      </c>
      <c r="K44">
        <f>Cleaned_data[[#This Row],[Volume (24h) USD $]]/Cleaned_data[[#This Row],[Curculating Supply $]]</f>
        <v>1.7869208494208494E-9</v>
      </c>
      <c r="L44">
        <f>RANK(Cleaned_data[[#This Row],[Market Cap $]],Cleaned_data[Market Cap $],0)</f>
        <v>29</v>
      </c>
      <c r="M44" t="str">
        <f t="shared" si="0"/>
        <v>0-0.5</v>
      </c>
    </row>
    <row r="45" spans="1:13" x14ac:dyDescent="0.3">
      <c r="A45" t="s">
        <v>295</v>
      </c>
      <c r="B45" t="s">
        <v>296</v>
      </c>
      <c r="C45">
        <v>6.4199999999999993E-2</v>
      </c>
      <c r="D45">
        <v>4.1999999999999997E-3</v>
      </c>
      <c r="E45">
        <v>58550000</v>
      </c>
      <c r="F45" t="s">
        <v>1845</v>
      </c>
      <c r="G45">
        <v>915000</v>
      </c>
      <c r="H45" t="s">
        <v>1846</v>
      </c>
      <c r="I45">
        <v>140910000000000</v>
      </c>
      <c r="J45" t="s">
        <v>300</v>
      </c>
      <c r="K45">
        <f>Cleaned_data[[#This Row],[Volume (24h) USD $]]/Cleaned_data[[#This Row],[Curculating Supply $]]</f>
        <v>6.4935064935064932E-9</v>
      </c>
      <c r="L45">
        <f>RANK(Cleaned_data[[#This Row],[Market Cap $]],Cleaned_data[Market Cap $],0)</f>
        <v>43</v>
      </c>
      <c r="M45" t="str">
        <f t="shared" si="0"/>
        <v>0-0.5</v>
      </c>
    </row>
    <row r="46" spans="1:13" x14ac:dyDescent="0.3">
      <c r="A46" t="s">
        <v>301</v>
      </c>
      <c r="B46" t="s">
        <v>302</v>
      </c>
      <c r="C46">
        <v>1.5E-3</v>
      </c>
      <c r="D46">
        <v>1E-4</v>
      </c>
      <c r="E46">
        <v>58470000</v>
      </c>
      <c r="F46" t="s">
        <v>1847</v>
      </c>
      <c r="G46">
        <v>1990000</v>
      </c>
      <c r="H46" t="s">
        <v>1848</v>
      </c>
      <c r="I46">
        <v>40030000000</v>
      </c>
      <c r="J46" t="s">
        <v>306</v>
      </c>
      <c r="K46">
        <f>Cleaned_data[[#This Row],[Volume (24h) USD $]]/Cleaned_data[[#This Row],[Curculating Supply $]]</f>
        <v>4.9712715463402446E-5</v>
      </c>
      <c r="L46">
        <f>RANK(Cleaned_data[[#This Row],[Market Cap $]],Cleaned_data[Market Cap $],0)</f>
        <v>44</v>
      </c>
      <c r="M46" t="str">
        <f t="shared" si="0"/>
        <v>0-0.5</v>
      </c>
    </row>
    <row r="47" spans="1:13" x14ac:dyDescent="0.3">
      <c r="A47" t="s">
        <v>307</v>
      </c>
      <c r="B47" t="s">
        <v>308</v>
      </c>
      <c r="C47">
        <v>3.5999999999999999E-3</v>
      </c>
      <c r="D47">
        <v>1.6999999999999999E-3</v>
      </c>
      <c r="E47">
        <v>58370000</v>
      </c>
      <c r="F47" t="s">
        <v>1849</v>
      </c>
      <c r="G47">
        <v>2360000</v>
      </c>
      <c r="H47" t="s">
        <v>1850</v>
      </c>
      <c r="I47">
        <v>16379999999.999998</v>
      </c>
      <c r="J47" t="s">
        <v>312</v>
      </c>
      <c r="K47">
        <f>Cleaned_data[[#This Row],[Volume (24h) USD $]]/Cleaned_data[[#This Row],[Curculating Supply $]]</f>
        <v>1.4407814407814409E-4</v>
      </c>
      <c r="L47">
        <f>RANK(Cleaned_data[[#This Row],[Market Cap $]],Cleaned_data[Market Cap $],0)</f>
        <v>45</v>
      </c>
      <c r="M47" t="str">
        <f t="shared" si="0"/>
        <v>0-0.5</v>
      </c>
    </row>
    <row r="48" spans="1:13" x14ac:dyDescent="0.3">
      <c r="A48" t="s">
        <v>313</v>
      </c>
      <c r="B48" t="s">
        <v>314</v>
      </c>
      <c r="C48">
        <v>3.7100000000000001E-2</v>
      </c>
      <c r="D48">
        <v>5.8500000000000003E-2</v>
      </c>
      <c r="E48">
        <v>57850000</v>
      </c>
      <c r="F48" t="s">
        <v>1851</v>
      </c>
      <c r="G48">
        <v>38840000</v>
      </c>
      <c r="H48" t="s">
        <v>1852</v>
      </c>
      <c r="I48">
        <v>1560000000</v>
      </c>
      <c r="J48" t="s">
        <v>319</v>
      </c>
      <c r="K48">
        <f>Cleaned_data[[#This Row],[Volume (24h) USD $]]/Cleaned_data[[#This Row],[Curculating Supply $]]</f>
        <v>2.4897435897435899E-2</v>
      </c>
      <c r="L48">
        <f>RANK(Cleaned_data[[#This Row],[Market Cap $]],Cleaned_data[Market Cap $],0)</f>
        <v>46</v>
      </c>
      <c r="M48" t="str">
        <f t="shared" si="0"/>
        <v>0-0.5</v>
      </c>
    </row>
    <row r="49" spans="1:13" x14ac:dyDescent="0.3">
      <c r="A49" t="s">
        <v>320</v>
      </c>
      <c r="B49" t="s">
        <v>321</v>
      </c>
      <c r="C49">
        <v>4.0500000000000001E-2</v>
      </c>
      <c r="D49">
        <v>2.0999999999999999E-3</v>
      </c>
      <c r="E49">
        <v>57060000</v>
      </c>
      <c r="F49" t="s">
        <v>1853</v>
      </c>
      <c r="G49">
        <v>4630000</v>
      </c>
      <c r="H49" t="s">
        <v>1854</v>
      </c>
      <c r="I49">
        <v>1400000000</v>
      </c>
      <c r="J49" t="s">
        <v>326</v>
      </c>
      <c r="K49">
        <f>Cleaned_data[[#This Row],[Volume (24h) USD $]]/Cleaned_data[[#This Row],[Curculating Supply $]]</f>
        <v>3.307142857142857E-3</v>
      </c>
      <c r="L49">
        <f>RANK(Cleaned_data[[#This Row],[Market Cap $]],Cleaned_data[Market Cap $],0)</f>
        <v>47</v>
      </c>
      <c r="M49" t="str">
        <f t="shared" si="0"/>
        <v>0-0.5</v>
      </c>
    </row>
    <row r="50" spans="1:13" x14ac:dyDescent="0.3">
      <c r="A50" t="s">
        <v>327</v>
      </c>
      <c r="B50" t="s">
        <v>328</v>
      </c>
      <c r="C50">
        <v>2.3400000000000001E-2</v>
      </c>
      <c r="D50">
        <v>8.0999999999999996E-3</v>
      </c>
      <c r="E50">
        <v>56950000</v>
      </c>
      <c r="F50" t="s">
        <v>1855</v>
      </c>
      <c r="G50">
        <v>10610000</v>
      </c>
      <c r="H50" t="s">
        <v>1856</v>
      </c>
      <c r="I50">
        <v>2420000000</v>
      </c>
      <c r="J50" t="s">
        <v>333</v>
      </c>
      <c r="K50">
        <f>Cleaned_data[[#This Row],[Volume (24h) USD $]]/Cleaned_data[[#This Row],[Curculating Supply $]]</f>
        <v>4.3842975206611571E-3</v>
      </c>
      <c r="L50">
        <f>RANK(Cleaned_data[[#This Row],[Market Cap $]],Cleaned_data[Market Cap $],0)</f>
        <v>48</v>
      </c>
      <c r="M50" t="str">
        <f t="shared" si="0"/>
        <v>0-0.5</v>
      </c>
    </row>
    <row r="51" spans="1:13" x14ac:dyDescent="0.3">
      <c r="A51" t="s">
        <v>334</v>
      </c>
      <c r="B51" t="s">
        <v>335</v>
      </c>
      <c r="C51">
        <v>0.2994</v>
      </c>
      <c r="D51">
        <v>1.5E-3</v>
      </c>
      <c r="E51">
        <v>56900000</v>
      </c>
      <c r="F51" t="s">
        <v>1857</v>
      </c>
      <c r="G51">
        <v>1100000</v>
      </c>
      <c r="H51" t="s">
        <v>1858</v>
      </c>
      <c r="I51">
        <v>190000000</v>
      </c>
      <c r="J51" t="s">
        <v>339</v>
      </c>
      <c r="K51">
        <f>Cleaned_data[[#This Row],[Volume (24h) USD $]]/Cleaned_data[[#This Row],[Curculating Supply $]]</f>
        <v>5.7894736842105266E-3</v>
      </c>
      <c r="L51">
        <f>RANK(Cleaned_data[[#This Row],[Market Cap $]],Cleaned_data[Market Cap $],0)</f>
        <v>49</v>
      </c>
      <c r="M51" t="str">
        <f t="shared" si="0"/>
        <v>0-0.5</v>
      </c>
    </row>
    <row r="52" spans="1:13" x14ac:dyDescent="0.3">
      <c r="A52" t="s">
        <v>340</v>
      </c>
      <c r="B52" t="s">
        <v>341</v>
      </c>
      <c r="C52">
        <v>5.67E-2</v>
      </c>
      <c r="D52">
        <v>6.7000000000000002E-3</v>
      </c>
      <c r="E52">
        <v>56690000</v>
      </c>
      <c r="F52" t="s">
        <v>1859</v>
      </c>
      <c r="G52">
        <v>3410000</v>
      </c>
      <c r="H52" t="s">
        <v>1860</v>
      </c>
      <c r="I52">
        <v>999990000</v>
      </c>
      <c r="J52" t="s">
        <v>346</v>
      </c>
      <c r="K52">
        <f>Cleaned_data[[#This Row],[Volume (24h) USD $]]/Cleaned_data[[#This Row],[Curculating Supply $]]</f>
        <v>3.4100341003410035E-3</v>
      </c>
      <c r="L52">
        <f>RANK(Cleaned_data[[#This Row],[Market Cap $]],Cleaned_data[Market Cap $],0)</f>
        <v>50</v>
      </c>
      <c r="M52" t="str">
        <f t="shared" si="0"/>
        <v>0-0.5</v>
      </c>
    </row>
    <row r="53" spans="1:13" x14ac:dyDescent="0.3">
      <c r="A53" t="s">
        <v>347</v>
      </c>
      <c r="B53" t="s">
        <v>348</v>
      </c>
      <c r="C53">
        <v>0.2792</v>
      </c>
      <c r="D53">
        <v>1.11E-2</v>
      </c>
      <c r="E53">
        <v>55990000</v>
      </c>
      <c r="F53" t="s">
        <v>1861</v>
      </c>
      <c r="G53">
        <v>34680000</v>
      </c>
      <c r="H53" t="s">
        <v>1862</v>
      </c>
      <c r="I53">
        <v>200500000</v>
      </c>
      <c r="J53" t="s">
        <v>353</v>
      </c>
      <c r="K53">
        <f>Cleaned_data[[#This Row],[Volume (24h) USD $]]/Cleaned_data[[#This Row],[Curculating Supply $]]</f>
        <v>0.17296758104738155</v>
      </c>
      <c r="L53">
        <f>RANK(Cleaned_data[[#This Row],[Market Cap $]],Cleaned_data[Market Cap $],0)</f>
        <v>51</v>
      </c>
      <c r="M53" t="str">
        <f t="shared" si="0"/>
        <v>0-0.5</v>
      </c>
    </row>
    <row r="54" spans="1:13" x14ac:dyDescent="0.3">
      <c r="A54" t="s">
        <v>354</v>
      </c>
      <c r="B54" t="s">
        <v>355</v>
      </c>
      <c r="C54">
        <v>2.98</v>
      </c>
      <c r="D54">
        <v>1.1000000000000001E-3</v>
      </c>
      <c r="E54">
        <v>55420000</v>
      </c>
      <c r="F54" t="s">
        <v>1863</v>
      </c>
      <c r="G54">
        <v>2170000</v>
      </c>
      <c r="H54" t="s">
        <v>1864</v>
      </c>
      <c r="I54">
        <v>18590000</v>
      </c>
      <c r="J54" t="s">
        <v>359</v>
      </c>
      <c r="K54">
        <f>Cleaned_data[[#This Row],[Volume (24h) USD $]]/Cleaned_data[[#This Row],[Curculating Supply $]]</f>
        <v>0.11672942442173212</v>
      </c>
      <c r="L54">
        <f>RANK(Cleaned_data[[#This Row],[Market Cap $]],Cleaned_data[Market Cap $],0)</f>
        <v>52</v>
      </c>
      <c r="M54" t="str">
        <f t="shared" si="0"/>
        <v>2-10</v>
      </c>
    </row>
    <row r="55" spans="1:13" x14ac:dyDescent="0.3">
      <c r="A55" t="s">
        <v>360</v>
      </c>
      <c r="B55" t="s">
        <v>361</v>
      </c>
      <c r="C55">
        <v>0.1789</v>
      </c>
      <c r="D55">
        <v>5.4000000000000003E-3</v>
      </c>
      <c r="E55">
        <v>55380000</v>
      </c>
      <c r="F55" t="s">
        <v>1865</v>
      </c>
      <c r="G55">
        <v>8590000</v>
      </c>
      <c r="H55" t="s">
        <v>1818</v>
      </c>
      <c r="I55">
        <v>309580000</v>
      </c>
      <c r="J55" t="s">
        <v>364</v>
      </c>
      <c r="K55">
        <f>Cleaned_data[[#This Row],[Volume (24h) USD $]]/Cleaned_data[[#This Row],[Curculating Supply $]]</f>
        <v>2.7747270495510047E-2</v>
      </c>
      <c r="L55">
        <f>RANK(Cleaned_data[[#This Row],[Market Cap $]],Cleaned_data[Market Cap $],0)</f>
        <v>53</v>
      </c>
      <c r="M55" t="str">
        <f t="shared" si="0"/>
        <v>0-0.5</v>
      </c>
    </row>
    <row r="56" spans="1:13" x14ac:dyDescent="0.3">
      <c r="A56" t="s">
        <v>365</v>
      </c>
      <c r="B56" t="s">
        <v>366</v>
      </c>
      <c r="C56">
        <v>0.40810000000000002</v>
      </c>
      <c r="D56">
        <v>1.78E-2</v>
      </c>
      <c r="E56">
        <v>54380000</v>
      </c>
      <c r="F56" t="s">
        <v>1866</v>
      </c>
      <c r="G56">
        <v>256250</v>
      </c>
      <c r="H56" t="s">
        <v>1867</v>
      </c>
      <c r="I56">
        <v>133240000.00000001</v>
      </c>
      <c r="J56" t="s">
        <v>371</v>
      </c>
      <c r="K56">
        <f>Cleaned_data[[#This Row],[Volume (24h) USD $]]/Cleaned_data[[#This Row],[Curculating Supply $]]</f>
        <v>1.9232212548784147E-3</v>
      </c>
      <c r="L56">
        <f>RANK(Cleaned_data[[#This Row],[Market Cap $]],Cleaned_data[Market Cap $],0)</f>
        <v>54</v>
      </c>
      <c r="M56" t="str">
        <f t="shared" si="0"/>
        <v>0-0.5</v>
      </c>
    </row>
    <row r="57" spans="1:13" x14ac:dyDescent="0.3">
      <c r="A57" t="s">
        <v>372</v>
      </c>
      <c r="B57" t="s">
        <v>373</v>
      </c>
      <c r="C57">
        <v>7.0699999999999999E-2</v>
      </c>
      <c r="D57">
        <v>3.8699999999999998E-2</v>
      </c>
      <c r="E57">
        <v>54090000</v>
      </c>
      <c r="F57" t="s">
        <v>1868</v>
      </c>
      <c r="G57">
        <v>371000000</v>
      </c>
      <c r="H57" t="s">
        <v>1869</v>
      </c>
      <c r="I57">
        <v>764940000</v>
      </c>
      <c r="J57" t="s">
        <v>378</v>
      </c>
      <c r="K57">
        <f>Cleaned_data[[#This Row],[Volume (24h) USD $]]/Cleaned_data[[#This Row],[Curculating Supply $]]</f>
        <v>0.48500535989750831</v>
      </c>
      <c r="L57">
        <f>RANK(Cleaned_data[[#This Row],[Market Cap $]],Cleaned_data[Market Cap $],0)</f>
        <v>56</v>
      </c>
      <c r="M57" t="str">
        <f t="shared" si="0"/>
        <v>0-0.5</v>
      </c>
    </row>
    <row r="58" spans="1:13" x14ac:dyDescent="0.3">
      <c r="A58" t="s">
        <v>379</v>
      </c>
      <c r="B58" t="s">
        <v>380</v>
      </c>
      <c r="C58">
        <v>4.2000000000000003E-2</v>
      </c>
      <c r="D58">
        <v>1E-4</v>
      </c>
      <c r="E58">
        <v>54120000</v>
      </c>
      <c r="F58" t="s">
        <v>1870</v>
      </c>
      <c r="G58">
        <v>2210000</v>
      </c>
      <c r="H58" t="s">
        <v>1871</v>
      </c>
      <c r="I58">
        <v>1280000000</v>
      </c>
      <c r="J58" t="s">
        <v>384</v>
      </c>
      <c r="K58">
        <f>Cleaned_data[[#This Row],[Volume (24h) USD $]]/Cleaned_data[[#This Row],[Curculating Supply $]]</f>
        <v>1.7265625E-3</v>
      </c>
      <c r="L58">
        <f>RANK(Cleaned_data[[#This Row],[Market Cap $]],Cleaned_data[Market Cap $],0)</f>
        <v>55</v>
      </c>
      <c r="M58" t="str">
        <f t="shared" si="0"/>
        <v>0-0.5</v>
      </c>
    </row>
    <row r="59" spans="1:13" x14ac:dyDescent="0.3">
      <c r="A59" t="s">
        <v>385</v>
      </c>
      <c r="B59" t="s">
        <v>386</v>
      </c>
      <c r="C59">
        <v>5.0000000000000001E-3</v>
      </c>
      <c r="D59">
        <v>1E-4</v>
      </c>
      <c r="E59">
        <v>54000000</v>
      </c>
      <c r="F59" t="s">
        <v>1872</v>
      </c>
      <c r="G59">
        <v>1940000</v>
      </c>
      <c r="H59" t="s">
        <v>1873</v>
      </c>
      <c r="I59">
        <v>10800000000</v>
      </c>
      <c r="J59" t="s">
        <v>390</v>
      </c>
      <c r="K59">
        <f>Cleaned_data[[#This Row],[Volume (24h) USD $]]/Cleaned_data[[#This Row],[Curculating Supply $]]</f>
        <v>1.7962962962962963E-4</v>
      </c>
      <c r="L59">
        <f>RANK(Cleaned_data[[#This Row],[Market Cap $]],Cleaned_data[Market Cap $],0)</f>
        <v>57</v>
      </c>
      <c r="M59" t="str">
        <f t="shared" si="0"/>
        <v>0-0.5</v>
      </c>
    </row>
    <row r="60" spans="1:13" x14ac:dyDescent="0.3">
      <c r="A60" t="s">
        <v>391</v>
      </c>
      <c r="B60" t="s">
        <v>392</v>
      </c>
      <c r="C60">
        <v>198.65</v>
      </c>
      <c r="D60">
        <v>4.0000000000000002E-4</v>
      </c>
      <c r="E60">
        <v>39040000</v>
      </c>
      <c r="F60" t="s">
        <v>1874</v>
      </c>
      <c r="G60">
        <v>2610000</v>
      </c>
      <c r="H60" t="s">
        <v>1875</v>
      </c>
      <c r="I60">
        <v>196540</v>
      </c>
      <c r="J60" t="s">
        <v>396</v>
      </c>
      <c r="K60">
        <f>Cleaned_data[[#This Row],[Volume (24h) USD $]]/Cleaned_data[[#This Row],[Curculating Supply $]]</f>
        <v>13.279739493232929</v>
      </c>
      <c r="L60">
        <f>RANK(Cleaned_data[[#This Row],[Market Cap $]],Cleaned_data[Market Cap $],0)</f>
        <v>58</v>
      </c>
      <c r="M60" t="str">
        <f t="shared" si="0"/>
        <v>100-10000</v>
      </c>
    </row>
    <row r="61" spans="1:13" x14ac:dyDescent="0.3">
      <c r="A61" t="s">
        <v>397</v>
      </c>
      <c r="B61" t="s">
        <v>398</v>
      </c>
      <c r="C61">
        <v>0.08</v>
      </c>
      <c r="D61">
        <v>1E-4</v>
      </c>
      <c r="E61">
        <v>39010000</v>
      </c>
      <c r="F61" t="s">
        <v>1876</v>
      </c>
      <c r="G61">
        <v>6960000</v>
      </c>
      <c r="H61" t="s">
        <v>1877</v>
      </c>
      <c r="I61">
        <v>390560000000000</v>
      </c>
      <c r="J61" t="s">
        <v>402</v>
      </c>
      <c r="K61">
        <f>Cleaned_data[[#This Row],[Volume (24h) USD $]]/Cleaned_data[[#This Row],[Curculating Supply $]]</f>
        <v>1.7820565342072921E-8</v>
      </c>
      <c r="L61">
        <f>RANK(Cleaned_data[[#This Row],[Market Cap $]],Cleaned_data[Market Cap $],0)</f>
        <v>59</v>
      </c>
      <c r="M61" t="str">
        <f t="shared" si="0"/>
        <v>0-0.5</v>
      </c>
    </row>
    <row r="62" spans="1:13" x14ac:dyDescent="0.3">
      <c r="A62" t="s">
        <v>403</v>
      </c>
      <c r="B62" t="s">
        <v>404</v>
      </c>
      <c r="C62">
        <v>1.1499999999999999</v>
      </c>
      <c r="D62">
        <v>6.9999999999999999E-4</v>
      </c>
      <c r="E62">
        <v>38950000</v>
      </c>
      <c r="F62" t="s">
        <v>1878</v>
      </c>
      <c r="G62">
        <v>4710000</v>
      </c>
      <c r="H62" t="s">
        <v>1879</v>
      </c>
      <c r="I62">
        <v>33850000</v>
      </c>
      <c r="J62" t="s">
        <v>408</v>
      </c>
      <c r="K62">
        <f>Cleaned_data[[#This Row],[Volume (24h) USD $]]/Cleaned_data[[#This Row],[Curculating Supply $]]</f>
        <v>0.13914327917282127</v>
      </c>
      <c r="L62">
        <f>RANK(Cleaned_data[[#This Row],[Market Cap $]],Cleaned_data[Market Cap $],0)</f>
        <v>60</v>
      </c>
      <c r="M62" t="str">
        <f t="shared" si="0"/>
        <v>1-2</v>
      </c>
    </row>
    <row r="63" spans="1:13" x14ac:dyDescent="0.3">
      <c r="A63" t="s">
        <v>409</v>
      </c>
      <c r="B63" t="s">
        <v>410</v>
      </c>
      <c r="C63">
        <v>3.8999999999999998E-3</v>
      </c>
      <c r="D63">
        <v>7.7999999999999996E-3</v>
      </c>
      <c r="E63">
        <v>38890000</v>
      </c>
      <c r="F63" t="s">
        <v>1880</v>
      </c>
      <c r="G63">
        <v>4650000</v>
      </c>
      <c r="H63" t="s">
        <v>1881</v>
      </c>
      <c r="I63">
        <v>9990000000</v>
      </c>
      <c r="J63" t="s">
        <v>415</v>
      </c>
      <c r="K63">
        <f>Cleaned_data[[#This Row],[Volume (24h) USD $]]/Cleaned_data[[#This Row],[Curculating Supply $]]</f>
        <v>4.6546546546546546E-4</v>
      </c>
      <c r="L63">
        <f>RANK(Cleaned_data[[#This Row],[Market Cap $]],Cleaned_data[Market Cap $],0)</f>
        <v>61</v>
      </c>
      <c r="M63" t="str">
        <f t="shared" si="0"/>
        <v>0-0.5</v>
      </c>
    </row>
    <row r="64" spans="1:13" x14ac:dyDescent="0.3">
      <c r="A64" t="s">
        <v>416</v>
      </c>
      <c r="B64" t="s">
        <v>417</v>
      </c>
      <c r="C64">
        <v>0.1129</v>
      </c>
      <c r="D64">
        <v>3.5999999999999999E-3</v>
      </c>
      <c r="E64">
        <v>38770000</v>
      </c>
      <c r="F64" t="s">
        <v>1882</v>
      </c>
      <c r="G64">
        <v>4410000</v>
      </c>
      <c r="H64" t="s">
        <v>1883</v>
      </c>
      <c r="I64">
        <v>343120000</v>
      </c>
      <c r="J64" t="s">
        <v>422</v>
      </c>
      <c r="K64">
        <f>Cleaned_data[[#This Row],[Volume (24h) USD $]]/Cleaned_data[[#This Row],[Curculating Supply $]]</f>
        <v>1.2852646304499884E-2</v>
      </c>
      <c r="L64">
        <f>RANK(Cleaned_data[[#This Row],[Market Cap $]],Cleaned_data[Market Cap $],0)</f>
        <v>62</v>
      </c>
      <c r="M64" t="str">
        <f t="shared" si="0"/>
        <v>0-0.5</v>
      </c>
    </row>
    <row r="65" spans="1:13" x14ac:dyDescent="0.3">
      <c r="A65" t="s">
        <v>423</v>
      </c>
      <c r="B65" t="s">
        <v>424</v>
      </c>
      <c r="C65">
        <v>3.8600000000000002E-2</v>
      </c>
      <c r="D65">
        <v>1.4E-3</v>
      </c>
      <c r="E65">
        <v>38620000</v>
      </c>
      <c r="F65" t="s">
        <v>1884</v>
      </c>
      <c r="G65">
        <v>6780000</v>
      </c>
      <c r="H65" t="s">
        <v>1885</v>
      </c>
      <c r="I65">
        <v>999840000</v>
      </c>
      <c r="J65" t="s">
        <v>428</v>
      </c>
      <c r="K65">
        <f>Cleaned_data[[#This Row],[Volume (24h) USD $]]/Cleaned_data[[#This Row],[Curculating Supply $]]</f>
        <v>6.7810849735957749E-3</v>
      </c>
      <c r="L65">
        <f>RANK(Cleaned_data[[#This Row],[Market Cap $]],Cleaned_data[Market Cap $],0)</f>
        <v>63</v>
      </c>
      <c r="M65" t="str">
        <f t="shared" si="0"/>
        <v>0-0.5</v>
      </c>
    </row>
    <row r="66" spans="1:13" x14ac:dyDescent="0.3">
      <c r="A66" t="s">
        <v>429</v>
      </c>
      <c r="B66" t="s">
        <v>430</v>
      </c>
      <c r="C66">
        <v>0.99939999999999996</v>
      </c>
      <c r="D66">
        <v>1E-4</v>
      </c>
      <c r="E66">
        <v>38580000</v>
      </c>
      <c r="F66" t="s">
        <v>1886</v>
      </c>
      <c r="G66">
        <v>737220</v>
      </c>
      <c r="H66" t="s">
        <v>1887</v>
      </c>
      <c r="I66">
        <v>38600000</v>
      </c>
      <c r="J66" t="s">
        <v>434</v>
      </c>
      <c r="K66">
        <f>Cleaned_data[[#This Row],[Volume (24h) USD $]]/Cleaned_data[[#This Row],[Curculating Supply $]]</f>
        <v>1.9098963730569948E-2</v>
      </c>
      <c r="L66">
        <f>RANK(Cleaned_data[[#This Row],[Market Cap $]],Cleaned_data[Market Cap $],0)</f>
        <v>64</v>
      </c>
      <c r="M66" t="str">
        <f t="shared" ref="M66:M129" si="1">IF(C66&lt;=0.5,"0-0.5",
IF(C66&lt;=1,"0.5-1",
IF(C66&lt;=2,"1-2",
IF(C66&lt;=10,"2-10",
IF(C66&lt;=100,"10-100",
IF(C66&lt;=10000,"100-10000",
"10000+"))))))</f>
        <v>0.5-1</v>
      </c>
    </row>
    <row r="67" spans="1:13" x14ac:dyDescent="0.3">
      <c r="A67" t="s">
        <v>435</v>
      </c>
      <c r="B67" t="s">
        <v>436</v>
      </c>
      <c r="C67">
        <v>3.5799999999999998E-2</v>
      </c>
      <c r="D67">
        <v>3.0999999999999999E-3</v>
      </c>
      <c r="E67">
        <v>38290000</v>
      </c>
      <c r="F67" t="s">
        <v>1888</v>
      </c>
      <c r="G67">
        <v>581100</v>
      </c>
      <c r="H67" t="s">
        <v>1889</v>
      </c>
      <c r="I67">
        <v>1060000000</v>
      </c>
      <c r="J67" t="s">
        <v>441</v>
      </c>
      <c r="K67">
        <f>Cleaned_data[[#This Row],[Volume (24h) USD $]]/Cleaned_data[[#This Row],[Curculating Supply $]]</f>
        <v>5.482075471698113E-4</v>
      </c>
      <c r="L67">
        <f>RANK(Cleaned_data[[#This Row],[Market Cap $]],Cleaned_data[Market Cap $],0)</f>
        <v>65</v>
      </c>
      <c r="M67" t="str">
        <f t="shared" si="1"/>
        <v>0-0.5</v>
      </c>
    </row>
    <row r="68" spans="1:13" x14ac:dyDescent="0.3">
      <c r="A68" t="s">
        <v>442</v>
      </c>
      <c r="B68" t="s">
        <v>443</v>
      </c>
      <c r="C68">
        <v>6.4299999999999996E-2</v>
      </c>
      <c r="D68">
        <v>2.5000000000000001E-3</v>
      </c>
      <c r="E68">
        <v>38250000</v>
      </c>
      <c r="F68" t="s">
        <v>1890</v>
      </c>
      <c r="G68">
        <v>438760</v>
      </c>
      <c r="H68" t="s">
        <v>1891</v>
      </c>
      <c r="I68">
        <v>595340000</v>
      </c>
      <c r="J68" t="s">
        <v>447</v>
      </c>
      <c r="K68">
        <f>Cleaned_data[[#This Row],[Volume (24h) USD $]]/Cleaned_data[[#This Row],[Curculating Supply $]]</f>
        <v>7.3699062720462252E-4</v>
      </c>
      <c r="L68">
        <f>RANK(Cleaned_data[[#This Row],[Market Cap $]],Cleaned_data[Market Cap $],0)</f>
        <v>66</v>
      </c>
      <c r="M68" t="str">
        <f t="shared" si="1"/>
        <v>0-0.5</v>
      </c>
    </row>
    <row r="69" spans="1:13" x14ac:dyDescent="0.3">
      <c r="A69" t="s">
        <v>448</v>
      </c>
      <c r="B69" t="s">
        <v>449</v>
      </c>
      <c r="C69">
        <v>0.35289999999999999</v>
      </c>
      <c r="D69">
        <v>2.9999999999999997E-4</v>
      </c>
      <c r="E69">
        <v>37920000</v>
      </c>
      <c r="F69" t="s">
        <v>1892</v>
      </c>
      <c r="G69">
        <v>1200000</v>
      </c>
      <c r="H69" t="s">
        <v>1893</v>
      </c>
      <c r="I69">
        <v>107460000</v>
      </c>
      <c r="J69" t="s">
        <v>453</v>
      </c>
      <c r="K69">
        <f>Cleaned_data[[#This Row],[Volume (24h) USD $]]/Cleaned_data[[#This Row],[Curculating Supply $]]</f>
        <v>1.1166945840312675E-2</v>
      </c>
      <c r="L69">
        <f>RANK(Cleaned_data[[#This Row],[Market Cap $]],Cleaned_data[Market Cap $],0)</f>
        <v>67</v>
      </c>
      <c r="M69" t="str">
        <f t="shared" si="1"/>
        <v>0-0.5</v>
      </c>
    </row>
    <row r="70" spans="1:13" x14ac:dyDescent="0.3">
      <c r="A70" t="s">
        <v>454</v>
      </c>
      <c r="B70" t="s">
        <v>455</v>
      </c>
      <c r="C70">
        <v>1.4800000000000001E-2</v>
      </c>
      <c r="D70">
        <v>3.3E-3</v>
      </c>
      <c r="E70">
        <v>37870000</v>
      </c>
      <c r="F70" t="s">
        <v>1894</v>
      </c>
      <c r="G70">
        <v>6650000</v>
      </c>
      <c r="H70" t="s">
        <v>1895</v>
      </c>
      <c r="I70">
        <v>2560000000</v>
      </c>
      <c r="J70" t="s">
        <v>460</v>
      </c>
      <c r="K70">
        <f>Cleaned_data[[#This Row],[Volume (24h) USD $]]/Cleaned_data[[#This Row],[Curculating Supply $]]</f>
        <v>2.5976562500000001E-3</v>
      </c>
      <c r="L70">
        <f>RANK(Cleaned_data[[#This Row],[Market Cap $]],Cleaned_data[Market Cap $],0)</f>
        <v>68</v>
      </c>
      <c r="M70" t="str">
        <f t="shared" si="1"/>
        <v>0-0.5</v>
      </c>
    </row>
    <row r="71" spans="1:13" x14ac:dyDescent="0.3">
      <c r="A71" t="s">
        <v>461</v>
      </c>
      <c r="B71" t="s">
        <v>462</v>
      </c>
      <c r="C71">
        <v>6.2700000000000006E-2</v>
      </c>
      <c r="D71">
        <v>1.6000000000000001E-3</v>
      </c>
      <c r="E71">
        <v>37840000</v>
      </c>
      <c r="F71" t="s">
        <v>469</v>
      </c>
      <c r="G71">
        <v>2380000</v>
      </c>
      <c r="H71" t="s">
        <v>1896</v>
      </c>
      <c r="I71">
        <v>603760000</v>
      </c>
      <c r="J71" t="s">
        <v>466</v>
      </c>
      <c r="K71">
        <f>Cleaned_data[[#This Row],[Volume (24h) USD $]]/Cleaned_data[[#This Row],[Curculating Supply $]]</f>
        <v>3.9419636941831187E-3</v>
      </c>
      <c r="L71">
        <f>RANK(Cleaned_data[[#This Row],[Market Cap $]],Cleaned_data[Market Cap $],0)</f>
        <v>69</v>
      </c>
      <c r="M71" t="str">
        <f t="shared" si="1"/>
        <v>0-0.5</v>
      </c>
    </row>
    <row r="72" spans="1:13" x14ac:dyDescent="0.3">
      <c r="A72" t="s">
        <v>467</v>
      </c>
      <c r="B72" t="s">
        <v>467</v>
      </c>
      <c r="C72">
        <v>0.99990000000000001</v>
      </c>
      <c r="D72">
        <v>0</v>
      </c>
      <c r="E72">
        <v>37840000</v>
      </c>
      <c r="F72" t="s">
        <v>469</v>
      </c>
      <c r="G72">
        <v>769590</v>
      </c>
      <c r="H72" t="s">
        <v>1897</v>
      </c>
      <c r="I72">
        <v>37840000</v>
      </c>
      <c r="J72" t="s">
        <v>469</v>
      </c>
      <c r="K72">
        <f>Cleaned_data[[#This Row],[Volume (24h) USD $]]/Cleaned_data[[#This Row],[Curculating Supply $]]</f>
        <v>2.0338002114164904E-2</v>
      </c>
      <c r="L72">
        <f>RANK(Cleaned_data[[#This Row],[Market Cap $]],Cleaned_data[Market Cap $],0)</f>
        <v>69</v>
      </c>
      <c r="M72" t="str">
        <f t="shared" si="1"/>
        <v>0.5-1</v>
      </c>
    </row>
    <row r="73" spans="1:13" x14ac:dyDescent="0.3">
      <c r="A73" t="s">
        <v>470</v>
      </c>
      <c r="B73" t="s">
        <v>471</v>
      </c>
      <c r="C73">
        <v>13.48</v>
      </c>
      <c r="D73">
        <v>2.0000000000000001E-4</v>
      </c>
      <c r="E73">
        <v>37740000</v>
      </c>
      <c r="F73" t="s">
        <v>1898</v>
      </c>
      <c r="G73">
        <v>6520000</v>
      </c>
      <c r="H73" t="s">
        <v>1899</v>
      </c>
      <c r="I73">
        <v>2790000</v>
      </c>
      <c r="J73" t="s">
        <v>475</v>
      </c>
      <c r="K73">
        <f>Cleaned_data[[#This Row],[Volume (24h) USD $]]/Cleaned_data[[#This Row],[Curculating Supply $]]</f>
        <v>2.3369175627240142</v>
      </c>
      <c r="L73">
        <f>RANK(Cleaned_data[[#This Row],[Market Cap $]],Cleaned_data[Market Cap $],0)</f>
        <v>71</v>
      </c>
      <c r="M73" t="str">
        <f t="shared" si="1"/>
        <v>10-100</v>
      </c>
    </row>
    <row r="74" spans="1:13" x14ac:dyDescent="0.3">
      <c r="A74" t="s">
        <v>476</v>
      </c>
      <c r="B74" t="s">
        <v>477</v>
      </c>
      <c r="C74">
        <v>3.7499999999999999E-2</v>
      </c>
      <c r="D74">
        <v>3.8E-3</v>
      </c>
      <c r="E74">
        <v>37470000</v>
      </c>
      <c r="F74" t="s">
        <v>1900</v>
      </c>
      <c r="G74">
        <v>2790000</v>
      </c>
      <c r="H74" t="s">
        <v>475</v>
      </c>
      <c r="I74">
        <v>1000000000</v>
      </c>
      <c r="J74" t="s">
        <v>482</v>
      </c>
      <c r="K74">
        <f>Cleaned_data[[#This Row],[Volume (24h) USD $]]/Cleaned_data[[#This Row],[Curculating Supply $]]</f>
        <v>2.7899999999999999E-3</v>
      </c>
      <c r="L74">
        <f>RANK(Cleaned_data[[#This Row],[Market Cap $]],Cleaned_data[Market Cap $],0)</f>
        <v>72</v>
      </c>
      <c r="M74" t="str">
        <f t="shared" si="1"/>
        <v>0-0.5</v>
      </c>
    </row>
    <row r="75" spans="1:13" x14ac:dyDescent="0.3">
      <c r="A75" t="s">
        <v>483</v>
      </c>
      <c r="B75" t="s">
        <v>484</v>
      </c>
      <c r="C75">
        <v>1.6999999999999999E-3</v>
      </c>
      <c r="D75">
        <v>8.6999999999999994E-3</v>
      </c>
      <c r="E75">
        <v>28630000</v>
      </c>
      <c r="F75" t="s">
        <v>1901</v>
      </c>
      <c r="G75">
        <v>2000000</v>
      </c>
      <c r="H75" t="s">
        <v>1902</v>
      </c>
      <c r="I75">
        <v>16629999999.999998</v>
      </c>
      <c r="J75" t="s">
        <v>489</v>
      </c>
      <c r="K75">
        <f>Cleaned_data[[#This Row],[Volume (24h) USD $]]/Cleaned_data[[#This Row],[Curculating Supply $]]</f>
        <v>1.2026458208057729E-4</v>
      </c>
      <c r="L75">
        <f>RANK(Cleaned_data[[#This Row],[Market Cap $]],Cleaned_data[Market Cap $],0)</f>
        <v>73</v>
      </c>
      <c r="M75" t="str">
        <f t="shared" si="1"/>
        <v>0-0.5</v>
      </c>
    </row>
    <row r="76" spans="1:13" x14ac:dyDescent="0.3">
      <c r="A76" t="s">
        <v>494</v>
      </c>
      <c r="B76" t="s">
        <v>495</v>
      </c>
      <c r="C76">
        <v>0.1128</v>
      </c>
      <c r="D76">
        <v>2.1899999999999999E-2</v>
      </c>
      <c r="E76">
        <v>28540000</v>
      </c>
      <c r="F76" t="s">
        <v>1903</v>
      </c>
      <c r="G76">
        <v>2230000</v>
      </c>
      <c r="H76" t="s">
        <v>1904</v>
      </c>
      <c r="I76">
        <v>253000000</v>
      </c>
      <c r="J76" t="s">
        <v>500</v>
      </c>
      <c r="K76">
        <f>Cleaned_data[[#This Row],[Volume (24h) USD $]]/Cleaned_data[[#This Row],[Curculating Supply $]]</f>
        <v>8.8142292490118578E-3</v>
      </c>
      <c r="L76">
        <f>RANK(Cleaned_data[[#This Row],[Market Cap $]],Cleaned_data[Market Cap $],0)</f>
        <v>74</v>
      </c>
      <c r="M76" t="str">
        <f t="shared" si="1"/>
        <v>0-0.5</v>
      </c>
    </row>
    <row r="77" spans="1:13" x14ac:dyDescent="0.3">
      <c r="A77" t="s">
        <v>501</v>
      </c>
      <c r="B77" t="s">
        <v>502</v>
      </c>
      <c r="C77">
        <v>0.1205</v>
      </c>
      <c r="D77">
        <v>4.7000000000000002E-3</v>
      </c>
      <c r="E77">
        <v>28470000</v>
      </c>
      <c r="F77" t="s">
        <v>1905</v>
      </c>
      <c r="G77">
        <v>643200000</v>
      </c>
      <c r="H77" t="s">
        <v>1906</v>
      </c>
      <c r="I77">
        <v>236300000</v>
      </c>
      <c r="J77" t="s">
        <v>507</v>
      </c>
      <c r="K77">
        <f>Cleaned_data[[#This Row],[Volume (24h) USD $]]/Cleaned_data[[#This Row],[Curculating Supply $]]</f>
        <v>2.7219636055861192</v>
      </c>
      <c r="L77">
        <f>RANK(Cleaned_data[[#This Row],[Market Cap $]],Cleaned_data[Market Cap $],0)</f>
        <v>75</v>
      </c>
      <c r="M77" t="str">
        <f t="shared" si="1"/>
        <v>0-0.5</v>
      </c>
    </row>
    <row r="78" spans="1:13" x14ac:dyDescent="0.3">
      <c r="A78" t="s">
        <v>508</v>
      </c>
      <c r="B78" t="s">
        <v>509</v>
      </c>
      <c r="C78">
        <v>0.26740000000000003</v>
      </c>
      <c r="D78">
        <v>2E-3</v>
      </c>
      <c r="E78">
        <v>28350000</v>
      </c>
      <c r="F78" t="s">
        <v>1907</v>
      </c>
      <c r="G78">
        <v>2900000</v>
      </c>
      <c r="H78" t="s">
        <v>1908</v>
      </c>
      <c r="I78">
        <v>106040000</v>
      </c>
      <c r="J78" t="s">
        <v>514</v>
      </c>
      <c r="K78">
        <f>Cleaned_data[[#This Row],[Volume (24h) USD $]]/Cleaned_data[[#This Row],[Curculating Supply $]]</f>
        <v>2.7348170501697473E-2</v>
      </c>
      <c r="L78">
        <f>RANK(Cleaned_data[[#This Row],[Market Cap $]],Cleaned_data[Market Cap $],0)</f>
        <v>76</v>
      </c>
      <c r="M78" t="str">
        <f t="shared" si="1"/>
        <v>0-0.5</v>
      </c>
    </row>
    <row r="79" spans="1:13" x14ac:dyDescent="0.3">
      <c r="A79" t="s">
        <v>515</v>
      </c>
      <c r="B79" t="s">
        <v>516</v>
      </c>
      <c r="C79">
        <v>7.5300000000000006E-2</v>
      </c>
      <c r="D79">
        <v>4.1999999999999997E-3</v>
      </c>
      <c r="E79">
        <v>28310000</v>
      </c>
      <c r="F79" t="s">
        <v>1909</v>
      </c>
      <c r="G79">
        <v>170250</v>
      </c>
      <c r="H79" t="s">
        <v>1910</v>
      </c>
      <c r="I79">
        <v>536429999999999.94</v>
      </c>
      <c r="J79" t="s">
        <v>520</v>
      </c>
      <c r="K79">
        <f>Cleaned_data[[#This Row],[Volume (24h) USD $]]/Cleaned_data[[#This Row],[Curculating Supply $]]</f>
        <v>3.1737598568312736E-10</v>
      </c>
      <c r="L79">
        <f>RANK(Cleaned_data[[#This Row],[Market Cap $]],Cleaned_data[Market Cap $],0)</f>
        <v>77</v>
      </c>
      <c r="M79" t="str">
        <f t="shared" si="1"/>
        <v>0-0.5</v>
      </c>
    </row>
    <row r="80" spans="1:13" x14ac:dyDescent="0.3">
      <c r="A80" t="s">
        <v>521</v>
      </c>
      <c r="B80" t="s">
        <v>522</v>
      </c>
      <c r="C80">
        <v>5.0000000000000001E-4</v>
      </c>
      <c r="D80">
        <v>1.2200000000000001E-2</v>
      </c>
      <c r="E80">
        <v>28240000</v>
      </c>
      <c r="F80" t="s">
        <v>1911</v>
      </c>
      <c r="G80">
        <v>2300000</v>
      </c>
      <c r="H80" t="s">
        <v>1912</v>
      </c>
      <c r="I80">
        <v>56020000000</v>
      </c>
      <c r="J80" t="s">
        <v>527</v>
      </c>
      <c r="K80">
        <f>Cleaned_data[[#This Row],[Volume (24h) USD $]]/Cleaned_data[[#This Row],[Curculating Supply $]]</f>
        <v>4.1056765440913962E-5</v>
      </c>
      <c r="L80">
        <f>RANK(Cleaned_data[[#This Row],[Market Cap $]],Cleaned_data[Market Cap $],0)</f>
        <v>78</v>
      </c>
      <c r="M80" t="str">
        <f t="shared" si="1"/>
        <v>0-0.5</v>
      </c>
    </row>
    <row r="81" spans="1:13" x14ac:dyDescent="0.3">
      <c r="A81" t="s">
        <v>528</v>
      </c>
      <c r="B81" t="s">
        <v>529</v>
      </c>
      <c r="C81">
        <v>7.7999999999999996E-3</v>
      </c>
      <c r="D81">
        <v>1.32E-2</v>
      </c>
      <c r="E81">
        <v>28050000</v>
      </c>
      <c r="F81" t="s">
        <v>1913</v>
      </c>
      <c r="G81">
        <v>8400000</v>
      </c>
      <c r="H81" t="s">
        <v>1914</v>
      </c>
      <c r="I81">
        <v>3570000000</v>
      </c>
      <c r="J81" t="s">
        <v>534</v>
      </c>
      <c r="K81">
        <f>Cleaned_data[[#This Row],[Volume (24h) USD $]]/Cleaned_data[[#This Row],[Curculating Supply $]]</f>
        <v>2.352941176470588E-3</v>
      </c>
      <c r="L81">
        <f>RANK(Cleaned_data[[#This Row],[Market Cap $]],Cleaned_data[Market Cap $],0)</f>
        <v>79</v>
      </c>
      <c r="M81" t="str">
        <f t="shared" si="1"/>
        <v>0-0.5</v>
      </c>
    </row>
    <row r="82" spans="1:13" x14ac:dyDescent="0.3">
      <c r="A82" t="s">
        <v>535</v>
      </c>
      <c r="B82" t="s">
        <v>536</v>
      </c>
      <c r="C82">
        <v>27.21</v>
      </c>
      <c r="D82">
        <v>1.1999999999999999E-3</v>
      </c>
      <c r="E82">
        <v>28000000</v>
      </c>
      <c r="F82" t="s">
        <v>1915</v>
      </c>
      <c r="G82">
        <v>1100000</v>
      </c>
      <c r="H82" t="s">
        <v>1858</v>
      </c>
      <c r="I82">
        <v>1020000</v>
      </c>
      <c r="J82" t="s">
        <v>539</v>
      </c>
      <c r="K82">
        <f>Cleaned_data[[#This Row],[Volume (24h) USD $]]/Cleaned_data[[#This Row],[Curculating Supply $]]</f>
        <v>1.0784313725490196</v>
      </c>
      <c r="L82">
        <f>RANK(Cleaned_data[[#This Row],[Market Cap $]],Cleaned_data[Market Cap $],0)</f>
        <v>80</v>
      </c>
      <c r="M82" t="str">
        <f t="shared" si="1"/>
        <v>10-100</v>
      </c>
    </row>
    <row r="83" spans="1:13" x14ac:dyDescent="0.3">
      <c r="A83" t="s">
        <v>540</v>
      </c>
      <c r="B83" t="s">
        <v>541</v>
      </c>
      <c r="C83">
        <v>8.4000000000000005E-2</v>
      </c>
      <c r="D83">
        <v>6.6E-3</v>
      </c>
      <c r="E83">
        <v>27980000</v>
      </c>
      <c r="F83" t="s">
        <v>1916</v>
      </c>
      <c r="G83">
        <v>16030000.000000002</v>
      </c>
      <c r="H83" t="s">
        <v>1917</v>
      </c>
      <c r="I83">
        <v>333250000</v>
      </c>
      <c r="J83" t="s">
        <v>546</v>
      </c>
      <c r="K83">
        <f>Cleaned_data[[#This Row],[Volume (24h) USD $]]/Cleaned_data[[#This Row],[Curculating Supply $]]</f>
        <v>4.81020255063766E-2</v>
      </c>
      <c r="L83">
        <f>RANK(Cleaned_data[[#This Row],[Market Cap $]],Cleaned_data[Market Cap $],0)</f>
        <v>81</v>
      </c>
      <c r="M83" t="str">
        <f t="shared" si="1"/>
        <v>0-0.5</v>
      </c>
    </row>
    <row r="84" spans="1:13" x14ac:dyDescent="0.3">
      <c r="A84" t="s">
        <v>547</v>
      </c>
      <c r="B84" t="s">
        <v>548</v>
      </c>
      <c r="C84">
        <v>5.8200000000000002E-2</v>
      </c>
      <c r="D84">
        <v>2.5999999999999999E-3</v>
      </c>
      <c r="E84">
        <v>27800000</v>
      </c>
      <c r="F84" t="s">
        <v>1918</v>
      </c>
      <c r="G84">
        <v>1710000</v>
      </c>
      <c r="H84" t="s">
        <v>1919</v>
      </c>
      <c r="I84">
        <v>477620000</v>
      </c>
      <c r="J84" t="s">
        <v>553</v>
      </c>
      <c r="K84">
        <f>Cleaned_data[[#This Row],[Volume (24h) USD $]]/Cleaned_data[[#This Row],[Curculating Supply $]]</f>
        <v>3.5802520832460953E-3</v>
      </c>
      <c r="L84">
        <f>RANK(Cleaned_data[[#This Row],[Market Cap $]],Cleaned_data[Market Cap $],0)</f>
        <v>82</v>
      </c>
      <c r="M84" t="str">
        <f t="shared" si="1"/>
        <v>0-0.5</v>
      </c>
    </row>
    <row r="85" spans="1:13" x14ac:dyDescent="0.3">
      <c r="A85" t="s">
        <v>554</v>
      </c>
      <c r="B85" t="s">
        <v>555</v>
      </c>
      <c r="C85">
        <v>5.1799999999999999E-2</v>
      </c>
      <c r="D85">
        <v>1.1999999999999999E-3</v>
      </c>
      <c r="E85">
        <v>27790000</v>
      </c>
      <c r="F85" t="s">
        <v>1920</v>
      </c>
      <c r="G85">
        <v>2190000</v>
      </c>
      <c r="H85" t="s">
        <v>1921</v>
      </c>
      <c r="I85">
        <v>537000000</v>
      </c>
      <c r="J85" t="s">
        <v>559</v>
      </c>
      <c r="K85">
        <f>Cleaned_data[[#This Row],[Volume (24h) USD $]]/Cleaned_data[[#This Row],[Curculating Supply $]]</f>
        <v>4.0782122905027932E-3</v>
      </c>
      <c r="L85">
        <f>RANK(Cleaned_data[[#This Row],[Market Cap $]],Cleaned_data[Market Cap $],0)</f>
        <v>83</v>
      </c>
      <c r="M85" t="str">
        <f t="shared" si="1"/>
        <v>0-0.5</v>
      </c>
    </row>
    <row r="86" spans="1:13" x14ac:dyDescent="0.3">
      <c r="A86" t="s">
        <v>560</v>
      </c>
      <c r="B86" t="s">
        <v>561</v>
      </c>
      <c r="C86">
        <v>167.84</v>
      </c>
      <c r="D86">
        <v>1.0699999999999999E-2</v>
      </c>
      <c r="E86">
        <v>27760000</v>
      </c>
      <c r="F86" t="s">
        <v>1922</v>
      </c>
      <c r="G86">
        <v>42750000</v>
      </c>
      <c r="H86" t="s">
        <v>1923</v>
      </c>
      <c r="I86">
        <v>165420</v>
      </c>
      <c r="J86" t="s">
        <v>566</v>
      </c>
      <c r="K86">
        <f>Cleaned_data[[#This Row],[Volume (24h) USD $]]/Cleaned_data[[#This Row],[Curculating Supply $]]</f>
        <v>258.43307943416755</v>
      </c>
      <c r="L86">
        <f>RANK(Cleaned_data[[#This Row],[Market Cap $]],Cleaned_data[Market Cap $],0)</f>
        <v>84</v>
      </c>
      <c r="M86" t="str">
        <f t="shared" si="1"/>
        <v>100-10000</v>
      </c>
    </row>
    <row r="87" spans="1:13" x14ac:dyDescent="0.3">
      <c r="A87" t="s">
        <v>567</v>
      </c>
      <c r="B87" t="s">
        <v>568</v>
      </c>
      <c r="C87">
        <v>1.44E-2</v>
      </c>
      <c r="D87">
        <v>1.6000000000000001E-3</v>
      </c>
      <c r="E87">
        <v>27700000</v>
      </c>
      <c r="F87" t="s">
        <v>1924</v>
      </c>
      <c r="G87">
        <v>1330000</v>
      </c>
      <c r="H87" t="s">
        <v>1925</v>
      </c>
      <c r="I87">
        <v>1920000000</v>
      </c>
      <c r="J87" t="s">
        <v>572</v>
      </c>
      <c r="K87">
        <f>Cleaned_data[[#This Row],[Volume (24h) USD $]]/Cleaned_data[[#This Row],[Curculating Supply $]]</f>
        <v>6.9270833333333337E-4</v>
      </c>
      <c r="L87">
        <f>RANK(Cleaned_data[[#This Row],[Market Cap $]],Cleaned_data[Market Cap $],0)</f>
        <v>85</v>
      </c>
      <c r="M87" t="str">
        <f t="shared" si="1"/>
        <v>0-0.5</v>
      </c>
    </row>
    <row r="88" spans="1:13" x14ac:dyDescent="0.3">
      <c r="A88" t="s">
        <v>573</v>
      </c>
      <c r="B88" t="s">
        <v>574</v>
      </c>
      <c r="C88">
        <v>0.91759999999999997</v>
      </c>
      <c r="D88">
        <v>8.6999999999999994E-3</v>
      </c>
      <c r="E88">
        <v>27600000</v>
      </c>
      <c r="F88" t="s">
        <v>1926</v>
      </c>
      <c r="G88">
        <v>12900000</v>
      </c>
      <c r="H88" t="s">
        <v>1927</v>
      </c>
      <c r="I88">
        <v>30080000</v>
      </c>
      <c r="J88" t="s">
        <v>578</v>
      </c>
      <c r="K88">
        <f>Cleaned_data[[#This Row],[Volume (24h) USD $]]/Cleaned_data[[#This Row],[Curculating Supply $]]</f>
        <v>0.42885638297872342</v>
      </c>
      <c r="L88">
        <f>RANK(Cleaned_data[[#This Row],[Market Cap $]],Cleaned_data[Market Cap $],0)</f>
        <v>86</v>
      </c>
      <c r="M88" t="str">
        <f t="shared" si="1"/>
        <v>0.5-1</v>
      </c>
    </row>
    <row r="89" spans="1:13" x14ac:dyDescent="0.3">
      <c r="A89" t="s">
        <v>579</v>
      </c>
      <c r="B89" t="s">
        <v>580</v>
      </c>
      <c r="C89">
        <v>2.6800000000000001E-2</v>
      </c>
      <c r="D89">
        <v>4.0000000000000002E-4</v>
      </c>
      <c r="E89">
        <v>20940000</v>
      </c>
      <c r="F89" t="s">
        <v>1928</v>
      </c>
      <c r="G89">
        <v>1900000</v>
      </c>
      <c r="H89" t="s">
        <v>1708</v>
      </c>
      <c r="I89">
        <v>782960000</v>
      </c>
      <c r="J89" t="s">
        <v>584</v>
      </c>
      <c r="K89">
        <f>Cleaned_data[[#This Row],[Volume (24h) USD $]]/Cleaned_data[[#This Row],[Curculating Supply $]]</f>
        <v>2.4266884642893632E-3</v>
      </c>
      <c r="L89">
        <f>RANK(Cleaned_data[[#This Row],[Market Cap $]],Cleaned_data[Market Cap $],0)</f>
        <v>87</v>
      </c>
      <c r="M89" t="str">
        <f t="shared" si="1"/>
        <v>0-0.5</v>
      </c>
    </row>
    <row r="90" spans="1:13" x14ac:dyDescent="0.3">
      <c r="A90" t="s">
        <v>585</v>
      </c>
      <c r="B90" t="s">
        <v>585</v>
      </c>
      <c r="C90">
        <v>5.9999999999999995E-4</v>
      </c>
      <c r="D90">
        <v>0</v>
      </c>
      <c r="E90">
        <v>20900000</v>
      </c>
      <c r="F90" t="s">
        <v>1929</v>
      </c>
      <c r="G90">
        <v>3910000</v>
      </c>
      <c r="H90" t="s">
        <v>1930</v>
      </c>
      <c r="I90">
        <v>34760000000</v>
      </c>
      <c r="J90" t="s">
        <v>589</v>
      </c>
      <c r="K90">
        <f>Cleaned_data[[#This Row],[Volume (24h) USD $]]/Cleaned_data[[#This Row],[Curculating Supply $]]</f>
        <v>1.1248561565017261E-4</v>
      </c>
      <c r="L90">
        <f>RANK(Cleaned_data[[#This Row],[Market Cap $]],Cleaned_data[Market Cap $],0)</f>
        <v>88</v>
      </c>
      <c r="M90" t="str">
        <f t="shared" si="1"/>
        <v>0-0.5</v>
      </c>
    </row>
    <row r="91" spans="1:13" x14ac:dyDescent="0.3">
      <c r="A91" t="s">
        <v>590</v>
      </c>
      <c r="B91" t="s">
        <v>591</v>
      </c>
      <c r="C91">
        <v>0.1633</v>
      </c>
      <c r="D91">
        <v>1.6999999999999999E-3</v>
      </c>
      <c r="E91">
        <v>20850000</v>
      </c>
      <c r="F91" t="s">
        <v>1931</v>
      </c>
      <c r="G91">
        <v>171390</v>
      </c>
      <c r="H91" t="s">
        <v>1932</v>
      </c>
      <c r="I91">
        <v>127600000</v>
      </c>
      <c r="J91" t="s">
        <v>595</v>
      </c>
      <c r="K91">
        <f>Cleaned_data[[#This Row],[Volume (24h) USD $]]/Cleaned_data[[#This Row],[Curculating Supply $]]</f>
        <v>1.3431818181818182E-3</v>
      </c>
      <c r="L91">
        <f>RANK(Cleaned_data[[#This Row],[Market Cap $]],Cleaned_data[Market Cap $],0)</f>
        <v>89</v>
      </c>
      <c r="M91" t="str">
        <f t="shared" si="1"/>
        <v>0-0.5</v>
      </c>
    </row>
    <row r="92" spans="1:13" x14ac:dyDescent="0.3">
      <c r="A92" t="s">
        <v>596</v>
      </c>
      <c r="B92" t="s">
        <v>597</v>
      </c>
      <c r="C92">
        <v>2.2000000000000001E-3</v>
      </c>
      <c r="D92">
        <v>2E-3</v>
      </c>
      <c r="E92">
        <v>20840000</v>
      </c>
      <c r="F92" t="s">
        <v>1933</v>
      </c>
      <c r="G92">
        <v>1590000</v>
      </c>
      <c r="H92" t="s">
        <v>1934</v>
      </c>
      <c r="I92">
        <v>9440000000</v>
      </c>
      <c r="J92" t="s">
        <v>601</v>
      </c>
      <c r="K92">
        <f>Cleaned_data[[#This Row],[Volume (24h) USD $]]/Cleaned_data[[#This Row],[Curculating Supply $]]</f>
        <v>1.6843220338983052E-4</v>
      </c>
      <c r="L92">
        <f>RANK(Cleaned_data[[#This Row],[Market Cap $]],Cleaned_data[Market Cap $],0)</f>
        <v>90</v>
      </c>
      <c r="M92" t="str">
        <f t="shared" si="1"/>
        <v>0-0.5</v>
      </c>
    </row>
    <row r="93" spans="1:13" x14ac:dyDescent="0.3">
      <c r="A93" t="s">
        <v>602</v>
      </c>
      <c r="B93" t="s">
        <v>603</v>
      </c>
      <c r="C93">
        <v>2.41E-2</v>
      </c>
      <c r="D93">
        <v>8.0000000000000004E-4</v>
      </c>
      <c r="E93">
        <v>20730000</v>
      </c>
      <c r="F93" t="s">
        <v>1935</v>
      </c>
      <c r="G93">
        <v>768360</v>
      </c>
      <c r="H93" t="s">
        <v>1936</v>
      </c>
      <c r="I93">
        <v>859110000</v>
      </c>
      <c r="J93" t="s">
        <v>608</v>
      </c>
      <c r="K93">
        <f>Cleaned_data[[#This Row],[Volume (24h) USD $]]/Cleaned_data[[#This Row],[Curculating Supply $]]</f>
        <v>8.9436742675559589E-4</v>
      </c>
      <c r="L93">
        <f>RANK(Cleaned_data[[#This Row],[Market Cap $]],Cleaned_data[Market Cap $],0)</f>
        <v>91</v>
      </c>
      <c r="M93" t="str">
        <f t="shared" si="1"/>
        <v>0-0.5</v>
      </c>
    </row>
    <row r="94" spans="1:13" x14ac:dyDescent="0.3">
      <c r="A94" t="s">
        <v>609</v>
      </c>
      <c r="B94" t="s">
        <v>610</v>
      </c>
      <c r="C94">
        <v>2.99</v>
      </c>
      <c r="D94">
        <v>2.3999999999999998E-3</v>
      </c>
      <c r="E94">
        <v>20720000</v>
      </c>
      <c r="F94" t="s">
        <v>1937</v>
      </c>
      <c r="G94">
        <v>6680000</v>
      </c>
      <c r="H94" t="s">
        <v>1938</v>
      </c>
      <c r="I94">
        <v>6920000</v>
      </c>
      <c r="J94" t="s">
        <v>615</v>
      </c>
      <c r="K94">
        <f>Cleaned_data[[#This Row],[Volume (24h) USD $]]/Cleaned_data[[#This Row],[Curculating Supply $]]</f>
        <v>0.96531791907514453</v>
      </c>
      <c r="L94">
        <f>RANK(Cleaned_data[[#This Row],[Market Cap $]],Cleaned_data[Market Cap $],0)</f>
        <v>92</v>
      </c>
      <c r="M94" t="str">
        <f t="shared" si="1"/>
        <v>2-10</v>
      </c>
    </row>
    <row r="95" spans="1:13" x14ac:dyDescent="0.3">
      <c r="A95" t="s">
        <v>616</v>
      </c>
      <c r="B95" t="s">
        <v>617</v>
      </c>
      <c r="C95">
        <v>8.48E-2</v>
      </c>
      <c r="D95">
        <v>7.1999999999999998E-3</v>
      </c>
      <c r="E95">
        <v>20630000</v>
      </c>
      <c r="F95" t="s">
        <v>1939</v>
      </c>
      <c r="G95">
        <v>2490000</v>
      </c>
      <c r="H95" t="s">
        <v>1940</v>
      </c>
      <c r="I95">
        <v>243230000</v>
      </c>
      <c r="J95" t="s">
        <v>622</v>
      </c>
      <c r="K95">
        <f>Cleaned_data[[#This Row],[Volume (24h) USD $]]/Cleaned_data[[#This Row],[Curculating Supply $]]</f>
        <v>1.0237224026641451E-2</v>
      </c>
      <c r="L95">
        <f>RANK(Cleaned_data[[#This Row],[Market Cap $]],Cleaned_data[Market Cap $],0)</f>
        <v>93</v>
      </c>
      <c r="M95" t="str">
        <f t="shared" si="1"/>
        <v>0-0.5</v>
      </c>
    </row>
    <row r="96" spans="1:13" x14ac:dyDescent="0.3">
      <c r="A96" t="s">
        <v>623</v>
      </c>
      <c r="B96" t="s">
        <v>624</v>
      </c>
      <c r="C96">
        <v>0.22209999999999999</v>
      </c>
      <c r="D96">
        <v>5.0000000000000001E-4</v>
      </c>
      <c r="E96">
        <v>20450000</v>
      </c>
      <c r="F96" t="s">
        <v>1941</v>
      </c>
      <c r="G96">
        <v>1000000</v>
      </c>
      <c r="H96" t="s">
        <v>1942</v>
      </c>
      <c r="I96">
        <v>92060000</v>
      </c>
      <c r="J96" t="s">
        <v>629</v>
      </c>
      <c r="K96">
        <f>Cleaned_data[[#This Row],[Volume (24h) USD $]]/Cleaned_data[[#This Row],[Curculating Supply $]]</f>
        <v>1.0862480990658266E-2</v>
      </c>
      <c r="L96">
        <f>RANK(Cleaned_data[[#This Row],[Market Cap $]],Cleaned_data[Market Cap $],0)</f>
        <v>94</v>
      </c>
      <c r="M96" t="str">
        <f t="shared" si="1"/>
        <v>0-0.5</v>
      </c>
    </row>
    <row r="97" spans="1:13" x14ac:dyDescent="0.3">
      <c r="A97" t="s">
        <v>630</v>
      </c>
      <c r="B97" t="s">
        <v>631</v>
      </c>
      <c r="C97">
        <v>1</v>
      </c>
      <c r="D97">
        <v>0</v>
      </c>
      <c r="E97">
        <v>20430000</v>
      </c>
      <c r="F97" t="s">
        <v>1943</v>
      </c>
      <c r="G97">
        <v>2410000</v>
      </c>
      <c r="H97" t="s">
        <v>1944</v>
      </c>
      <c r="I97">
        <v>20360000</v>
      </c>
      <c r="J97" t="s">
        <v>634</v>
      </c>
      <c r="K97">
        <f>Cleaned_data[[#This Row],[Volume (24h) USD $]]/Cleaned_data[[#This Row],[Curculating Supply $]]</f>
        <v>0.11836935166994106</v>
      </c>
      <c r="L97">
        <f>RANK(Cleaned_data[[#This Row],[Market Cap $]],Cleaned_data[Market Cap $],0)</f>
        <v>95</v>
      </c>
      <c r="M97" t="str">
        <f t="shared" si="1"/>
        <v>0.5-1</v>
      </c>
    </row>
    <row r="98" spans="1:13" x14ac:dyDescent="0.3">
      <c r="A98" t="s">
        <v>635</v>
      </c>
      <c r="B98" t="s">
        <v>636</v>
      </c>
      <c r="C98">
        <v>3.6700000000000003E-2</v>
      </c>
      <c r="D98">
        <v>3.0999999999999999E-3</v>
      </c>
      <c r="E98">
        <v>20330000</v>
      </c>
      <c r="F98" t="s">
        <v>1945</v>
      </c>
      <c r="G98">
        <v>2440000</v>
      </c>
      <c r="H98" t="s">
        <v>1946</v>
      </c>
      <c r="I98">
        <v>554140000</v>
      </c>
      <c r="J98" t="s">
        <v>640</v>
      </c>
      <c r="K98">
        <f>Cleaned_data[[#This Row],[Volume (24h) USD $]]/Cleaned_data[[#This Row],[Curculating Supply $]]</f>
        <v>4.4032194030389432E-3</v>
      </c>
      <c r="L98">
        <f>RANK(Cleaned_data[[#This Row],[Market Cap $]],Cleaned_data[Market Cap $],0)</f>
        <v>96</v>
      </c>
      <c r="M98" t="str">
        <f t="shared" si="1"/>
        <v>0-0.5</v>
      </c>
    </row>
    <row r="99" spans="1:13" x14ac:dyDescent="0.3">
      <c r="A99" t="s">
        <v>641</v>
      </c>
      <c r="B99" t="s">
        <v>642</v>
      </c>
      <c r="C99">
        <v>698.53</v>
      </c>
      <c r="D99">
        <v>1E-4</v>
      </c>
      <c r="E99">
        <v>20310000</v>
      </c>
      <c r="F99" t="s">
        <v>1947</v>
      </c>
      <c r="G99">
        <v>492300</v>
      </c>
      <c r="H99" t="s">
        <v>1948</v>
      </c>
      <c r="I99">
        <v>29080</v>
      </c>
      <c r="J99" t="s">
        <v>646</v>
      </c>
      <c r="K99">
        <f>Cleaned_data[[#This Row],[Volume (24h) USD $]]/Cleaned_data[[#This Row],[Curculating Supply $]]</f>
        <v>16.929160935350758</v>
      </c>
      <c r="L99">
        <f>RANK(Cleaned_data[[#This Row],[Market Cap $]],Cleaned_data[Market Cap $],0)</f>
        <v>97</v>
      </c>
      <c r="M99" t="str">
        <f t="shared" si="1"/>
        <v>100-10000</v>
      </c>
    </row>
    <row r="100" spans="1:13" x14ac:dyDescent="0.3">
      <c r="A100" t="s">
        <v>647</v>
      </c>
      <c r="B100" t="s">
        <v>648</v>
      </c>
      <c r="C100">
        <v>2.18E-2</v>
      </c>
      <c r="D100">
        <v>2.7000000000000001E-3</v>
      </c>
      <c r="E100">
        <v>20310000</v>
      </c>
      <c r="F100" t="s">
        <v>1947</v>
      </c>
      <c r="G100">
        <v>3260000</v>
      </c>
      <c r="H100" t="s">
        <v>1949</v>
      </c>
      <c r="I100">
        <v>931410000</v>
      </c>
      <c r="J100" t="s">
        <v>652</v>
      </c>
      <c r="K100">
        <f>Cleaned_data[[#This Row],[Volume (24h) USD $]]/Cleaned_data[[#This Row],[Curculating Supply $]]</f>
        <v>3.5000697866675256E-3</v>
      </c>
      <c r="L100">
        <f>RANK(Cleaned_data[[#This Row],[Market Cap $]],Cleaned_data[Market Cap $],0)</f>
        <v>97</v>
      </c>
      <c r="M100" t="str">
        <f t="shared" si="1"/>
        <v>0-0.5</v>
      </c>
    </row>
    <row r="101" spans="1:13" x14ac:dyDescent="0.3">
      <c r="A101" t="s">
        <v>653</v>
      </c>
      <c r="B101" t="s">
        <v>654</v>
      </c>
      <c r="C101">
        <v>4.8</v>
      </c>
      <c r="D101">
        <v>6.9999999999999999E-4</v>
      </c>
      <c r="E101">
        <v>20280000</v>
      </c>
      <c r="F101" t="s">
        <v>1950</v>
      </c>
      <c r="G101">
        <v>131990</v>
      </c>
      <c r="H101" t="s">
        <v>1951</v>
      </c>
      <c r="I101">
        <v>4210000</v>
      </c>
      <c r="J101" t="s">
        <v>658</v>
      </c>
      <c r="K101">
        <f>Cleaned_data[[#This Row],[Volume (24h) USD $]]/Cleaned_data[[#This Row],[Curculating Supply $]]</f>
        <v>3.1351543942992874E-2</v>
      </c>
      <c r="L101">
        <f>RANK(Cleaned_data[[#This Row],[Market Cap $]],Cleaned_data[Market Cap $],0)</f>
        <v>99</v>
      </c>
      <c r="M101" t="str">
        <f t="shared" si="1"/>
        <v>2-10</v>
      </c>
    </row>
    <row r="102" spans="1:13" x14ac:dyDescent="0.3">
      <c r="A102" t="s">
        <v>659</v>
      </c>
      <c r="B102" t="s">
        <v>660</v>
      </c>
      <c r="C102">
        <v>4.7699999999999999E-2</v>
      </c>
      <c r="D102">
        <v>6.8999999999999999E-3</v>
      </c>
      <c r="E102">
        <v>20260000</v>
      </c>
      <c r="F102" t="s">
        <v>1952</v>
      </c>
      <c r="G102">
        <v>8570000</v>
      </c>
      <c r="H102" t="s">
        <v>1953</v>
      </c>
      <c r="I102">
        <v>424990000</v>
      </c>
      <c r="J102" t="s">
        <v>665</v>
      </c>
      <c r="K102">
        <f>Cleaned_data[[#This Row],[Volume (24h) USD $]]/Cleaned_data[[#This Row],[Curculating Supply $]]</f>
        <v>2.0165180357184873E-2</v>
      </c>
      <c r="L102">
        <f>RANK(Cleaned_data[[#This Row],[Market Cap $]],Cleaned_data[Market Cap $],0)</f>
        <v>100</v>
      </c>
      <c r="M102" t="str">
        <f t="shared" si="1"/>
        <v>0-0.5</v>
      </c>
    </row>
    <row r="103" spans="1:13" x14ac:dyDescent="0.3">
      <c r="A103" t="s">
        <v>666</v>
      </c>
      <c r="B103" t="s">
        <v>667</v>
      </c>
      <c r="C103">
        <v>5.7999999999999996E-3</v>
      </c>
      <c r="D103">
        <v>2.9999999999999997E-4</v>
      </c>
      <c r="E103">
        <v>20140000</v>
      </c>
      <c r="F103" t="s">
        <v>1257</v>
      </c>
      <c r="G103">
        <v>27590</v>
      </c>
      <c r="H103" t="s">
        <v>1954</v>
      </c>
      <c r="I103">
        <v>3460000000</v>
      </c>
      <c r="J103" t="s">
        <v>671</v>
      </c>
      <c r="K103">
        <f>Cleaned_data[[#This Row],[Volume (24h) USD $]]/Cleaned_data[[#This Row],[Curculating Supply $]]</f>
        <v>7.9739884393063577E-6</v>
      </c>
      <c r="L103">
        <f>RANK(Cleaned_data[[#This Row],[Market Cap $]],Cleaned_data[Market Cap $],0)</f>
        <v>101</v>
      </c>
      <c r="M103" t="str">
        <f t="shared" si="1"/>
        <v>0-0.5</v>
      </c>
    </row>
    <row r="104" spans="1:13" x14ac:dyDescent="0.3">
      <c r="A104" t="s">
        <v>672</v>
      </c>
      <c r="B104" t="s">
        <v>673</v>
      </c>
      <c r="C104">
        <v>7.0199999999999999E-2</v>
      </c>
      <c r="D104">
        <v>2.3999999999999998E-3</v>
      </c>
      <c r="E104">
        <v>16140000</v>
      </c>
      <c r="F104" t="s">
        <v>1955</v>
      </c>
      <c r="G104">
        <v>3280000</v>
      </c>
      <c r="H104" t="s">
        <v>1956</v>
      </c>
      <c r="I104">
        <v>230000000</v>
      </c>
      <c r="J104" t="s">
        <v>677</v>
      </c>
      <c r="K104">
        <f>Cleaned_data[[#This Row],[Volume (24h) USD $]]/Cleaned_data[[#This Row],[Curculating Supply $]]</f>
        <v>1.4260869565217391E-2</v>
      </c>
      <c r="L104">
        <f>RANK(Cleaned_data[[#This Row],[Market Cap $]],Cleaned_data[Market Cap $],0)</f>
        <v>102</v>
      </c>
      <c r="M104" t="str">
        <f t="shared" si="1"/>
        <v>0-0.5</v>
      </c>
    </row>
    <row r="105" spans="1:13" x14ac:dyDescent="0.3">
      <c r="A105" t="s">
        <v>678</v>
      </c>
      <c r="B105" t="s">
        <v>679</v>
      </c>
      <c r="C105">
        <v>9.8900000000000002E-2</v>
      </c>
      <c r="D105">
        <v>1.11E-2</v>
      </c>
      <c r="E105">
        <v>16020000</v>
      </c>
      <c r="F105" t="s">
        <v>1957</v>
      </c>
      <c r="G105">
        <v>1150000</v>
      </c>
      <c r="H105" t="s">
        <v>1958</v>
      </c>
      <c r="I105">
        <v>162100000</v>
      </c>
      <c r="J105" t="s">
        <v>683</v>
      </c>
      <c r="K105">
        <f>Cleaned_data[[#This Row],[Volume (24h) USD $]]/Cleaned_data[[#This Row],[Curculating Supply $]]</f>
        <v>7.0943861813695247E-3</v>
      </c>
      <c r="L105">
        <f>RANK(Cleaned_data[[#This Row],[Market Cap $]],Cleaned_data[Market Cap $],0)</f>
        <v>103</v>
      </c>
      <c r="M105" t="str">
        <f t="shared" si="1"/>
        <v>0-0.5</v>
      </c>
    </row>
    <row r="106" spans="1:13" x14ac:dyDescent="0.3">
      <c r="A106" t="s">
        <v>684</v>
      </c>
      <c r="B106" t="s">
        <v>685</v>
      </c>
      <c r="C106">
        <v>1.3299999999999999E-2</v>
      </c>
      <c r="D106">
        <v>1E-4</v>
      </c>
      <c r="E106">
        <v>16020000</v>
      </c>
      <c r="F106" t="s">
        <v>1957</v>
      </c>
      <c r="G106">
        <v>80.73</v>
      </c>
      <c r="H106" t="s">
        <v>1959</v>
      </c>
      <c r="I106">
        <v>1200000000</v>
      </c>
      <c r="J106" t="s">
        <v>688</v>
      </c>
      <c r="K106">
        <f>Cleaned_data[[#This Row],[Volume (24h) USD $]]/Cleaned_data[[#This Row],[Curculating Supply $]]</f>
        <v>6.7274999999999999E-8</v>
      </c>
      <c r="L106">
        <f>RANK(Cleaned_data[[#This Row],[Market Cap $]],Cleaned_data[Market Cap $],0)</f>
        <v>103</v>
      </c>
      <c r="M106" t="str">
        <f t="shared" si="1"/>
        <v>0-0.5</v>
      </c>
    </row>
    <row r="107" spans="1:13" x14ac:dyDescent="0.3">
      <c r="A107" t="s">
        <v>689</v>
      </c>
      <c r="B107" t="s">
        <v>690</v>
      </c>
      <c r="C107">
        <v>1.6E-2</v>
      </c>
      <c r="D107">
        <v>1.83E-2</v>
      </c>
      <c r="E107">
        <v>16020000</v>
      </c>
      <c r="F107" t="s">
        <v>1957</v>
      </c>
      <c r="G107">
        <v>2890000</v>
      </c>
      <c r="H107" t="s">
        <v>1960</v>
      </c>
      <c r="I107">
        <v>999990000</v>
      </c>
      <c r="J107" t="s">
        <v>346</v>
      </c>
      <c r="K107">
        <f>Cleaned_data[[#This Row],[Volume (24h) USD $]]/Cleaned_data[[#This Row],[Curculating Supply $]]</f>
        <v>2.8900289002890029E-3</v>
      </c>
      <c r="L107">
        <f>RANK(Cleaned_data[[#This Row],[Market Cap $]],Cleaned_data[Market Cap $],0)</f>
        <v>103</v>
      </c>
      <c r="M107" t="str">
        <f t="shared" si="1"/>
        <v>0-0.5</v>
      </c>
    </row>
    <row r="108" spans="1:13" x14ac:dyDescent="0.3">
      <c r="A108" t="s">
        <v>694</v>
      </c>
      <c r="B108" t="s">
        <v>694</v>
      </c>
      <c r="C108">
        <v>8.0999999999999996E-3</v>
      </c>
      <c r="D108">
        <v>0.1012</v>
      </c>
      <c r="E108">
        <v>15970000</v>
      </c>
      <c r="F108" t="s">
        <v>1961</v>
      </c>
      <c r="G108">
        <v>466540</v>
      </c>
      <c r="H108" t="s">
        <v>1962</v>
      </c>
      <c r="I108">
        <v>1970000000</v>
      </c>
      <c r="J108" t="s">
        <v>699</v>
      </c>
      <c r="K108">
        <f>Cleaned_data[[#This Row],[Volume (24h) USD $]]/Cleaned_data[[#This Row],[Curculating Supply $]]</f>
        <v>2.3682233502538071E-4</v>
      </c>
      <c r="L108">
        <f>RANK(Cleaned_data[[#This Row],[Market Cap $]],Cleaned_data[Market Cap $],0)</f>
        <v>106</v>
      </c>
      <c r="M108" t="str">
        <f t="shared" si="1"/>
        <v>0-0.5</v>
      </c>
    </row>
    <row r="109" spans="1:13" x14ac:dyDescent="0.3">
      <c r="A109" t="s">
        <v>700</v>
      </c>
      <c r="B109" t="s">
        <v>701</v>
      </c>
      <c r="C109">
        <v>3.0300000000000001E-2</v>
      </c>
      <c r="D109">
        <v>1.1000000000000001E-3</v>
      </c>
      <c r="E109">
        <v>15950000</v>
      </c>
      <c r="F109" t="s">
        <v>1963</v>
      </c>
      <c r="G109">
        <v>4690000</v>
      </c>
      <c r="H109" t="s">
        <v>1964</v>
      </c>
      <c r="I109">
        <v>526870000</v>
      </c>
      <c r="J109" t="s">
        <v>705</v>
      </c>
      <c r="K109">
        <f>Cleaned_data[[#This Row],[Volume (24h) USD $]]/Cleaned_data[[#This Row],[Curculating Supply $]]</f>
        <v>8.9016265872036739E-3</v>
      </c>
      <c r="L109">
        <f>RANK(Cleaned_data[[#This Row],[Market Cap $]],Cleaned_data[Market Cap $],0)</f>
        <v>107</v>
      </c>
      <c r="M109" t="str">
        <f t="shared" si="1"/>
        <v>0-0.5</v>
      </c>
    </row>
    <row r="110" spans="1:13" x14ac:dyDescent="0.3">
      <c r="A110" t="s">
        <v>706</v>
      </c>
      <c r="B110" t="s">
        <v>707</v>
      </c>
      <c r="C110">
        <v>0.41120000000000001</v>
      </c>
      <c r="D110">
        <v>8.0000000000000004E-4</v>
      </c>
      <c r="E110">
        <v>15930000</v>
      </c>
      <c r="F110" t="s">
        <v>1965</v>
      </c>
      <c r="G110">
        <v>103180</v>
      </c>
      <c r="H110" t="s">
        <v>1966</v>
      </c>
      <c r="I110">
        <v>38740000</v>
      </c>
      <c r="J110" t="s">
        <v>711</v>
      </c>
      <c r="K110">
        <f>Cleaned_data[[#This Row],[Volume (24h) USD $]]/Cleaned_data[[#This Row],[Curculating Supply $]]</f>
        <v>2.663397005678885E-3</v>
      </c>
      <c r="L110">
        <f>RANK(Cleaned_data[[#This Row],[Market Cap $]],Cleaned_data[Market Cap $],0)</f>
        <v>108</v>
      </c>
      <c r="M110" t="str">
        <f t="shared" si="1"/>
        <v>0-0.5</v>
      </c>
    </row>
    <row r="111" spans="1:13" x14ac:dyDescent="0.3">
      <c r="A111" t="s">
        <v>712</v>
      </c>
      <c r="B111" t="s">
        <v>713</v>
      </c>
      <c r="C111">
        <v>3.8199999999999998E-2</v>
      </c>
      <c r="D111">
        <v>5.9999999999999995E-4</v>
      </c>
      <c r="E111">
        <v>15890000</v>
      </c>
      <c r="F111" t="s">
        <v>1967</v>
      </c>
      <c r="G111">
        <v>2730000</v>
      </c>
      <c r="H111" t="s">
        <v>1968</v>
      </c>
      <c r="I111">
        <v>415630000</v>
      </c>
      <c r="J111" t="s">
        <v>718</v>
      </c>
      <c r="K111">
        <f>Cleaned_data[[#This Row],[Volume (24h) USD $]]/Cleaned_data[[#This Row],[Curculating Supply $]]</f>
        <v>6.5683420349830378E-3</v>
      </c>
      <c r="L111">
        <f>RANK(Cleaned_data[[#This Row],[Market Cap $]],Cleaned_data[Market Cap $],0)</f>
        <v>109</v>
      </c>
      <c r="M111" t="str">
        <f t="shared" si="1"/>
        <v>0-0.5</v>
      </c>
    </row>
    <row r="112" spans="1:13" x14ac:dyDescent="0.3">
      <c r="A112" t="s">
        <v>719</v>
      </c>
      <c r="B112" t="s">
        <v>720</v>
      </c>
      <c r="C112">
        <v>3.3E-3</v>
      </c>
      <c r="D112">
        <v>1.6E-2</v>
      </c>
      <c r="E112">
        <v>15880000</v>
      </c>
      <c r="F112" t="s">
        <v>1969</v>
      </c>
      <c r="G112">
        <v>1810000</v>
      </c>
      <c r="H112" t="s">
        <v>1970</v>
      </c>
      <c r="I112">
        <v>4830000000</v>
      </c>
      <c r="J112" t="s">
        <v>725</v>
      </c>
      <c r="K112">
        <f>Cleaned_data[[#This Row],[Volume (24h) USD $]]/Cleaned_data[[#This Row],[Curculating Supply $]]</f>
        <v>3.7474120082815738E-4</v>
      </c>
      <c r="L112">
        <f>RANK(Cleaned_data[[#This Row],[Market Cap $]],Cleaned_data[Market Cap $],0)</f>
        <v>110</v>
      </c>
      <c r="M112" t="str">
        <f t="shared" si="1"/>
        <v>0-0.5</v>
      </c>
    </row>
    <row r="113" spans="1:13" x14ac:dyDescent="0.3">
      <c r="A113" t="s">
        <v>726</v>
      </c>
      <c r="B113" t="s">
        <v>727</v>
      </c>
      <c r="C113">
        <v>2.0000000000000001E-4</v>
      </c>
      <c r="D113">
        <v>6.1000000000000004E-3</v>
      </c>
      <c r="E113">
        <v>15870000</v>
      </c>
      <c r="F113" t="s">
        <v>1971</v>
      </c>
      <c r="G113">
        <v>2970000</v>
      </c>
      <c r="H113" t="s">
        <v>1972</v>
      </c>
      <c r="I113">
        <v>66390000000</v>
      </c>
      <c r="J113" t="s">
        <v>732</v>
      </c>
      <c r="K113">
        <f>Cleaned_data[[#This Row],[Volume (24h) USD $]]/Cleaned_data[[#This Row],[Curculating Supply $]]</f>
        <v>4.4735652959783097E-5</v>
      </c>
      <c r="L113">
        <f>RANK(Cleaned_data[[#This Row],[Market Cap $]],Cleaned_data[Market Cap $],0)</f>
        <v>111</v>
      </c>
      <c r="M113" t="str">
        <f t="shared" si="1"/>
        <v>0-0.5</v>
      </c>
    </row>
    <row r="114" spans="1:13" x14ac:dyDescent="0.3">
      <c r="A114" t="s">
        <v>733</v>
      </c>
      <c r="B114" t="s">
        <v>734</v>
      </c>
      <c r="C114">
        <v>4.0000000000000002E-4</v>
      </c>
      <c r="D114">
        <v>5.9999999999999995E-4</v>
      </c>
      <c r="E114">
        <v>15810000</v>
      </c>
      <c r="F114" t="s">
        <v>1973</v>
      </c>
      <c r="G114">
        <v>14990</v>
      </c>
      <c r="H114" t="s">
        <v>1974</v>
      </c>
      <c r="I114">
        <v>36250000000</v>
      </c>
      <c r="J114" t="s">
        <v>738</v>
      </c>
      <c r="K114">
        <f>Cleaned_data[[#This Row],[Volume (24h) USD $]]/Cleaned_data[[#This Row],[Curculating Supply $]]</f>
        <v>4.1351724137931036E-7</v>
      </c>
      <c r="L114">
        <f>RANK(Cleaned_data[[#This Row],[Market Cap $]],Cleaned_data[Market Cap $],0)</f>
        <v>112</v>
      </c>
      <c r="M114" t="str">
        <f t="shared" si="1"/>
        <v>0-0.5</v>
      </c>
    </row>
    <row r="115" spans="1:13" x14ac:dyDescent="0.3">
      <c r="A115" t="s">
        <v>739</v>
      </c>
      <c r="B115" t="s">
        <v>740</v>
      </c>
      <c r="C115">
        <v>8.9999999999999998E-4</v>
      </c>
      <c r="D115">
        <v>1.7600000000000001E-2</v>
      </c>
      <c r="E115">
        <v>15730000</v>
      </c>
      <c r="F115" t="s">
        <v>1975</v>
      </c>
      <c r="G115">
        <v>6130</v>
      </c>
      <c r="H115" t="s">
        <v>1976</v>
      </c>
      <c r="I115">
        <v>16700000000</v>
      </c>
      <c r="J115" t="s">
        <v>745</v>
      </c>
      <c r="K115">
        <f>Cleaned_data[[#This Row],[Volume (24h) USD $]]/Cleaned_data[[#This Row],[Curculating Supply $]]</f>
        <v>3.6706586826347305E-7</v>
      </c>
      <c r="L115">
        <f>RANK(Cleaned_data[[#This Row],[Market Cap $]],Cleaned_data[Market Cap $],0)</f>
        <v>113</v>
      </c>
      <c r="M115" t="str">
        <f t="shared" si="1"/>
        <v>0-0.5</v>
      </c>
    </row>
    <row r="116" spans="1:13" x14ac:dyDescent="0.3">
      <c r="A116" t="s">
        <v>746</v>
      </c>
      <c r="B116" t="s">
        <v>747</v>
      </c>
      <c r="C116">
        <v>0.12130000000000001</v>
      </c>
      <c r="D116">
        <v>5.7999999999999996E-3</v>
      </c>
      <c r="E116">
        <v>15660000</v>
      </c>
      <c r="F116" t="s">
        <v>1977</v>
      </c>
      <c r="G116">
        <v>2970000</v>
      </c>
      <c r="H116" t="s">
        <v>1972</v>
      </c>
      <c r="I116">
        <v>129100000</v>
      </c>
      <c r="J116" t="s">
        <v>751</v>
      </c>
      <c r="K116">
        <f>Cleaned_data[[#This Row],[Volume (24h) USD $]]/Cleaned_data[[#This Row],[Curculating Supply $]]</f>
        <v>2.3005422153369481E-2</v>
      </c>
      <c r="L116">
        <f>RANK(Cleaned_data[[#This Row],[Market Cap $]],Cleaned_data[Market Cap $],0)</f>
        <v>115</v>
      </c>
      <c r="M116" t="str">
        <f t="shared" si="1"/>
        <v>0-0.5</v>
      </c>
    </row>
    <row r="117" spans="1:13" x14ac:dyDescent="0.3">
      <c r="A117" t="s">
        <v>752</v>
      </c>
      <c r="B117" t="s">
        <v>753</v>
      </c>
      <c r="C117">
        <v>3.61E-2</v>
      </c>
      <c r="D117">
        <v>4.7999999999999996E-3</v>
      </c>
      <c r="E117">
        <v>15670000</v>
      </c>
      <c r="F117" t="s">
        <v>1978</v>
      </c>
      <c r="G117">
        <v>7350000</v>
      </c>
      <c r="H117" t="s">
        <v>1979</v>
      </c>
      <c r="I117">
        <v>434300000</v>
      </c>
      <c r="J117" t="s">
        <v>757</v>
      </c>
      <c r="K117">
        <f>Cleaned_data[[#This Row],[Volume (24h) USD $]]/Cleaned_data[[#This Row],[Curculating Supply $]]</f>
        <v>1.6923785401795993E-2</v>
      </c>
      <c r="L117">
        <f>RANK(Cleaned_data[[#This Row],[Market Cap $]],Cleaned_data[Market Cap $],0)</f>
        <v>114</v>
      </c>
      <c r="M117" t="str">
        <f t="shared" si="1"/>
        <v>0-0.5</v>
      </c>
    </row>
    <row r="118" spans="1:13" x14ac:dyDescent="0.3">
      <c r="A118" t="s">
        <v>758</v>
      </c>
      <c r="B118" t="s">
        <v>758</v>
      </c>
      <c r="C118">
        <v>2.23E-2</v>
      </c>
      <c r="D118">
        <v>1.1000000000000001E-3</v>
      </c>
      <c r="E118">
        <v>15590000</v>
      </c>
      <c r="F118" t="s">
        <v>1980</v>
      </c>
      <c r="G118">
        <v>1580000</v>
      </c>
      <c r="H118" t="s">
        <v>1981</v>
      </c>
      <c r="I118">
        <v>700000000</v>
      </c>
      <c r="J118" t="s">
        <v>762</v>
      </c>
      <c r="K118">
        <f>Cleaned_data[[#This Row],[Volume (24h) USD $]]/Cleaned_data[[#This Row],[Curculating Supply $]]</f>
        <v>2.2571428571428573E-3</v>
      </c>
      <c r="L118">
        <f>RANK(Cleaned_data[[#This Row],[Market Cap $]],Cleaned_data[Market Cap $],0)</f>
        <v>116</v>
      </c>
      <c r="M118" t="str">
        <f t="shared" si="1"/>
        <v>0-0.5</v>
      </c>
    </row>
    <row r="119" spans="1:13" x14ac:dyDescent="0.3">
      <c r="A119" t="s">
        <v>763</v>
      </c>
      <c r="B119" t="s">
        <v>764</v>
      </c>
      <c r="C119">
        <v>0.20399999999999999</v>
      </c>
      <c r="D119">
        <v>2E-3</v>
      </c>
      <c r="E119">
        <v>12050000</v>
      </c>
      <c r="F119" t="s">
        <v>1982</v>
      </c>
      <c r="G119">
        <v>3000000</v>
      </c>
      <c r="H119" t="s">
        <v>1983</v>
      </c>
      <c r="I119">
        <v>59070000</v>
      </c>
      <c r="J119" t="s">
        <v>767</v>
      </c>
      <c r="K119">
        <f>Cleaned_data[[#This Row],[Volume (24h) USD $]]/Cleaned_data[[#This Row],[Curculating Supply $]]</f>
        <v>5.0787201625190452E-2</v>
      </c>
      <c r="L119">
        <f>RANK(Cleaned_data[[#This Row],[Market Cap $]],Cleaned_data[Market Cap $],0)</f>
        <v>117</v>
      </c>
      <c r="M119" t="str">
        <f t="shared" si="1"/>
        <v>0-0.5</v>
      </c>
    </row>
    <row r="120" spans="1:13" x14ac:dyDescent="0.3">
      <c r="A120" t="s">
        <v>768</v>
      </c>
      <c r="B120" t="s">
        <v>769</v>
      </c>
      <c r="C120">
        <v>3.49E-2</v>
      </c>
      <c r="D120">
        <v>4.1000000000000003E-3</v>
      </c>
      <c r="E120">
        <v>12050000</v>
      </c>
      <c r="F120" t="s">
        <v>1982</v>
      </c>
      <c r="G120">
        <v>3170000</v>
      </c>
      <c r="H120" t="s">
        <v>1984</v>
      </c>
      <c r="I120">
        <v>345060000</v>
      </c>
      <c r="J120" t="s">
        <v>773</v>
      </c>
      <c r="K120">
        <f>Cleaned_data[[#This Row],[Volume (24h) USD $]]/Cleaned_data[[#This Row],[Curculating Supply $]]</f>
        <v>9.1868080913464333E-3</v>
      </c>
      <c r="L120">
        <f>RANK(Cleaned_data[[#This Row],[Market Cap $]],Cleaned_data[Market Cap $],0)</f>
        <v>117</v>
      </c>
      <c r="M120" t="str">
        <f t="shared" si="1"/>
        <v>0-0.5</v>
      </c>
    </row>
    <row r="121" spans="1:13" x14ac:dyDescent="0.3">
      <c r="A121" t="s">
        <v>774</v>
      </c>
      <c r="B121" t="s">
        <v>775</v>
      </c>
      <c r="C121">
        <v>1.5E-3</v>
      </c>
      <c r="D121">
        <v>3.0999999999999999E-3</v>
      </c>
      <c r="E121">
        <v>12010000</v>
      </c>
      <c r="F121" t="s">
        <v>1985</v>
      </c>
      <c r="G121">
        <v>2260000</v>
      </c>
      <c r="H121" t="s">
        <v>1986</v>
      </c>
      <c r="I121">
        <v>7800000000</v>
      </c>
      <c r="J121" t="s">
        <v>779</v>
      </c>
      <c r="K121">
        <f>Cleaned_data[[#This Row],[Volume (24h) USD $]]/Cleaned_data[[#This Row],[Curculating Supply $]]</f>
        <v>2.8974358974358976E-4</v>
      </c>
      <c r="L121">
        <f>RANK(Cleaned_data[[#This Row],[Market Cap $]],Cleaned_data[Market Cap $],0)</f>
        <v>119</v>
      </c>
      <c r="M121" t="str">
        <f t="shared" si="1"/>
        <v>0-0.5</v>
      </c>
    </row>
    <row r="122" spans="1:13" x14ac:dyDescent="0.3">
      <c r="A122" t="s">
        <v>780</v>
      </c>
      <c r="B122" t="s">
        <v>781</v>
      </c>
      <c r="C122">
        <v>1.2E-2</v>
      </c>
      <c r="D122">
        <v>1.03E-2</v>
      </c>
      <c r="E122">
        <v>12000000</v>
      </c>
      <c r="F122" t="s">
        <v>809</v>
      </c>
      <c r="G122">
        <v>3530000</v>
      </c>
      <c r="H122" t="s">
        <v>1987</v>
      </c>
      <c r="I122">
        <v>997210000</v>
      </c>
      <c r="J122" t="s">
        <v>786</v>
      </c>
      <c r="K122">
        <f>Cleaned_data[[#This Row],[Volume (24h) USD $]]/Cleaned_data[[#This Row],[Curculating Supply $]]</f>
        <v>3.5398762547507547E-3</v>
      </c>
      <c r="L122">
        <f>RANK(Cleaned_data[[#This Row],[Market Cap $]],Cleaned_data[Market Cap $],0)</f>
        <v>120</v>
      </c>
      <c r="M122" t="str">
        <f t="shared" si="1"/>
        <v>0-0.5</v>
      </c>
    </row>
    <row r="123" spans="1:13" x14ac:dyDescent="0.3">
      <c r="A123" t="s">
        <v>787</v>
      </c>
      <c r="B123" t="s">
        <v>788</v>
      </c>
      <c r="C123">
        <v>1.3100000000000001E-2</v>
      </c>
      <c r="D123">
        <v>1E-4</v>
      </c>
      <c r="E123">
        <v>11980000</v>
      </c>
      <c r="F123" t="s">
        <v>1988</v>
      </c>
      <c r="G123">
        <v>1050</v>
      </c>
      <c r="H123" t="s">
        <v>1989</v>
      </c>
      <c r="I123">
        <v>916760000</v>
      </c>
      <c r="J123" t="s">
        <v>792</v>
      </c>
      <c r="K123">
        <f>Cleaned_data[[#This Row],[Volume (24h) USD $]]/Cleaned_data[[#This Row],[Curculating Supply $]]</f>
        <v>1.1453379292290239E-6</v>
      </c>
      <c r="L123">
        <f>RANK(Cleaned_data[[#This Row],[Market Cap $]],Cleaned_data[Market Cap $],0)</f>
        <v>121</v>
      </c>
      <c r="M123" t="str">
        <f t="shared" si="1"/>
        <v>0-0.5</v>
      </c>
    </row>
    <row r="124" spans="1:13" x14ac:dyDescent="0.3">
      <c r="A124" t="s">
        <v>793</v>
      </c>
      <c r="B124" t="s">
        <v>794</v>
      </c>
      <c r="C124">
        <v>1.24E-2</v>
      </c>
      <c r="D124">
        <v>1.12E-2</v>
      </c>
      <c r="E124">
        <v>11970000</v>
      </c>
      <c r="F124" t="s">
        <v>1990</v>
      </c>
      <c r="G124">
        <v>4230000</v>
      </c>
      <c r="H124" t="s">
        <v>1798</v>
      </c>
      <c r="I124">
        <v>967030000</v>
      </c>
      <c r="J124" t="s">
        <v>798</v>
      </c>
      <c r="K124">
        <f>Cleaned_data[[#This Row],[Volume (24h) USD $]]/Cleaned_data[[#This Row],[Curculating Supply $]]</f>
        <v>4.3742179663505782E-3</v>
      </c>
      <c r="L124">
        <f>RANK(Cleaned_data[[#This Row],[Market Cap $]],Cleaned_data[Market Cap $],0)</f>
        <v>122</v>
      </c>
      <c r="M124" t="str">
        <f t="shared" si="1"/>
        <v>0-0.5</v>
      </c>
    </row>
    <row r="125" spans="1:13" x14ac:dyDescent="0.3">
      <c r="A125" t="s">
        <v>799</v>
      </c>
      <c r="B125" t="s">
        <v>800</v>
      </c>
      <c r="C125">
        <v>1.1999999999999999E-3</v>
      </c>
      <c r="D125">
        <v>5.1000000000000004E-3</v>
      </c>
      <c r="E125">
        <v>11930000</v>
      </c>
      <c r="F125" t="s">
        <v>1991</v>
      </c>
      <c r="G125">
        <v>296410</v>
      </c>
      <c r="H125" t="s">
        <v>1992</v>
      </c>
      <c r="I125">
        <v>10000000000</v>
      </c>
      <c r="J125" t="s">
        <v>805</v>
      </c>
      <c r="K125">
        <f>Cleaned_data[[#This Row],[Volume (24h) USD $]]/Cleaned_data[[#This Row],[Curculating Supply $]]</f>
        <v>2.9641E-5</v>
      </c>
      <c r="L125">
        <f>RANK(Cleaned_data[[#This Row],[Market Cap $]],Cleaned_data[Market Cap $],0)</f>
        <v>123</v>
      </c>
      <c r="M125" t="str">
        <f t="shared" si="1"/>
        <v>0-0.5</v>
      </c>
    </row>
    <row r="126" spans="1:13" x14ac:dyDescent="0.3">
      <c r="A126" t="s">
        <v>810</v>
      </c>
      <c r="B126" t="s">
        <v>811</v>
      </c>
      <c r="C126">
        <v>2.4900000000000002</v>
      </c>
      <c r="D126">
        <v>2.2000000000000001E-3</v>
      </c>
      <c r="E126">
        <v>11860000</v>
      </c>
      <c r="F126" t="s">
        <v>1993</v>
      </c>
      <c r="G126">
        <v>2160000</v>
      </c>
      <c r="H126" t="s">
        <v>1994</v>
      </c>
      <c r="I126">
        <v>4750000</v>
      </c>
      <c r="J126" t="s">
        <v>815</v>
      </c>
      <c r="K126">
        <f>Cleaned_data[[#This Row],[Volume (24h) USD $]]/Cleaned_data[[#This Row],[Curculating Supply $]]</f>
        <v>0.45473684210526316</v>
      </c>
      <c r="L126">
        <f>RANK(Cleaned_data[[#This Row],[Market Cap $]],Cleaned_data[Market Cap $],0)</f>
        <v>124</v>
      </c>
      <c r="M126" t="str">
        <f t="shared" si="1"/>
        <v>2-10</v>
      </c>
    </row>
    <row r="127" spans="1:13" x14ac:dyDescent="0.3">
      <c r="A127" t="s">
        <v>821</v>
      </c>
      <c r="B127" t="s">
        <v>821</v>
      </c>
      <c r="C127">
        <v>0.77939999999999998</v>
      </c>
      <c r="D127">
        <v>1E-4</v>
      </c>
      <c r="E127">
        <v>11770000</v>
      </c>
      <c r="F127" t="s">
        <v>1995</v>
      </c>
      <c r="G127">
        <v>523620</v>
      </c>
      <c r="H127" t="s">
        <v>1996</v>
      </c>
      <c r="I127">
        <v>15100000</v>
      </c>
      <c r="J127" t="s">
        <v>825</v>
      </c>
      <c r="K127">
        <f>Cleaned_data[[#This Row],[Volume (24h) USD $]]/Cleaned_data[[#This Row],[Curculating Supply $]]</f>
        <v>3.4676821192052981E-2</v>
      </c>
      <c r="L127">
        <f>RANK(Cleaned_data[[#This Row],[Market Cap $]],Cleaned_data[Market Cap $],0)</f>
        <v>125</v>
      </c>
      <c r="M127" t="str">
        <f t="shared" si="1"/>
        <v>0.5-1</v>
      </c>
    </row>
    <row r="128" spans="1:13" x14ac:dyDescent="0.3">
      <c r="A128" t="s">
        <v>826</v>
      </c>
      <c r="B128" t="s">
        <v>827</v>
      </c>
      <c r="C128">
        <v>11.86</v>
      </c>
      <c r="D128">
        <v>4.7999999999999996E-3</v>
      </c>
      <c r="E128">
        <v>11690000</v>
      </c>
      <c r="F128" t="s">
        <v>1997</v>
      </c>
      <c r="G128">
        <v>1930000</v>
      </c>
      <c r="H128" t="s">
        <v>1998</v>
      </c>
      <c r="I128">
        <v>986270</v>
      </c>
      <c r="J128" t="s">
        <v>831</v>
      </c>
      <c r="K128">
        <f>Cleaned_data[[#This Row],[Volume (24h) USD $]]/Cleaned_data[[#This Row],[Curculating Supply $]]</f>
        <v>1.9568677948229187</v>
      </c>
      <c r="L128">
        <f>RANK(Cleaned_data[[#This Row],[Market Cap $]],Cleaned_data[Market Cap $],0)</f>
        <v>126</v>
      </c>
      <c r="M128" t="str">
        <f t="shared" si="1"/>
        <v>10-100</v>
      </c>
    </row>
    <row r="129" spans="1:13" x14ac:dyDescent="0.3">
      <c r="A129" t="s">
        <v>832</v>
      </c>
      <c r="B129" t="s">
        <v>833</v>
      </c>
      <c r="C129">
        <v>0.17449999999999999</v>
      </c>
      <c r="D129">
        <v>0.02</v>
      </c>
      <c r="E129">
        <v>11690000</v>
      </c>
      <c r="F129" t="s">
        <v>1997</v>
      </c>
      <c r="G129">
        <v>71960</v>
      </c>
      <c r="H129" t="s">
        <v>1999</v>
      </c>
      <c r="I129">
        <v>66980000.000000007</v>
      </c>
      <c r="J129" t="s">
        <v>837</v>
      </c>
      <c r="K129">
        <f>Cleaned_data[[#This Row],[Volume (24h) USD $]]/Cleaned_data[[#This Row],[Curculating Supply $]]</f>
        <v>1.0743505524037024E-3</v>
      </c>
      <c r="L129">
        <f>RANK(Cleaned_data[[#This Row],[Market Cap $]],Cleaned_data[Market Cap $],0)</f>
        <v>126</v>
      </c>
      <c r="M129" t="str">
        <f t="shared" si="1"/>
        <v>0-0.5</v>
      </c>
    </row>
    <row r="130" spans="1:13" x14ac:dyDescent="0.3">
      <c r="A130" t="s">
        <v>838</v>
      </c>
      <c r="B130" t="s">
        <v>839</v>
      </c>
      <c r="C130">
        <v>1.17E-2</v>
      </c>
      <c r="D130">
        <v>2E-3</v>
      </c>
      <c r="E130">
        <v>11690000</v>
      </c>
      <c r="F130" t="s">
        <v>1997</v>
      </c>
      <c r="G130">
        <v>2670000</v>
      </c>
      <c r="H130" t="s">
        <v>2000</v>
      </c>
      <c r="I130">
        <v>1000000000</v>
      </c>
      <c r="J130" t="s">
        <v>482</v>
      </c>
      <c r="K130">
        <f>Cleaned_data[[#This Row],[Volume (24h) USD $]]/Cleaned_data[[#This Row],[Curculating Supply $]]</f>
        <v>2.6700000000000001E-3</v>
      </c>
      <c r="L130">
        <f>RANK(Cleaned_data[[#This Row],[Market Cap $]],Cleaned_data[Market Cap $],0)</f>
        <v>126</v>
      </c>
      <c r="M130" t="str">
        <f t="shared" ref="M130:M193" si="2">IF(C130&lt;=0.5,"0-0.5",
IF(C130&lt;=1,"0.5-1",
IF(C130&lt;=2,"1-2",
IF(C130&lt;=10,"2-10",
IF(C130&lt;=100,"10-100",
IF(C130&lt;=10000,"100-10000",
"10000+"))))))</f>
        <v>0-0.5</v>
      </c>
    </row>
    <row r="131" spans="1:13" x14ac:dyDescent="0.3">
      <c r="A131" t="s">
        <v>842</v>
      </c>
      <c r="B131" t="s">
        <v>843</v>
      </c>
      <c r="C131">
        <v>918.43</v>
      </c>
      <c r="D131">
        <v>1E-4</v>
      </c>
      <c r="E131">
        <v>11670000</v>
      </c>
      <c r="F131" t="s">
        <v>2001</v>
      </c>
      <c r="G131">
        <v>13380000</v>
      </c>
      <c r="H131" t="s">
        <v>2002</v>
      </c>
      <c r="I131">
        <v>12700</v>
      </c>
      <c r="J131" t="s">
        <v>847</v>
      </c>
      <c r="K131">
        <f>Cleaned_data[[#This Row],[Volume (24h) USD $]]/Cleaned_data[[#This Row],[Curculating Supply $]]</f>
        <v>1053.5433070866143</v>
      </c>
      <c r="L131">
        <f>RANK(Cleaned_data[[#This Row],[Market Cap $]],Cleaned_data[Market Cap $],0)</f>
        <v>129</v>
      </c>
      <c r="M131" t="str">
        <f t="shared" si="2"/>
        <v>100-10000</v>
      </c>
    </row>
    <row r="132" spans="1:13" x14ac:dyDescent="0.3">
      <c r="A132" t="s">
        <v>848</v>
      </c>
      <c r="B132" t="s">
        <v>849</v>
      </c>
      <c r="C132">
        <v>5.1999999999999998E-3</v>
      </c>
      <c r="D132">
        <v>4.0000000000000002E-4</v>
      </c>
      <c r="E132">
        <v>9360000</v>
      </c>
      <c r="F132" t="s">
        <v>2003</v>
      </c>
      <c r="G132">
        <v>1350000</v>
      </c>
      <c r="H132" t="s">
        <v>2004</v>
      </c>
      <c r="I132">
        <v>1780000000</v>
      </c>
      <c r="J132" t="s">
        <v>853</v>
      </c>
      <c r="K132">
        <f>Cleaned_data[[#This Row],[Volume (24h) USD $]]/Cleaned_data[[#This Row],[Curculating Supply $]]</f>
        <v>7.5842696629213483E-4</v>
      </c>
      <c r="L132">
        <f>RANK(Cleaned_data[[#This Row],[Market Cap $]],Cleaned_data[Market Cap $],0)</f>
        <v>130</v>
      </c>
      <c r="M132" t="str">
        <f t="shared" si="2"/>
        <v>0-0.5</v>
      </c>
    </row>
    <row r="133" spans="1:13" x14ac:dyDescent="0.3">
      <c r="A133" t="s">
        <v>854</v>
      </c>
      <c r="B133" t="s">
        <v>854</v>
      </c>
      <c r="C133">
        <v>0.10009999999999999</v>
      </c>
      <c r="D133">
        <v>1.5299999999999999E-2</v>
      </c>
      <c r="E133">
        <v>9280000</v>
      </c>
      <c r="F133" t="s">
        <v>1523</v>
      </c>
      <c r="G133">
        <v>389060</v>
      </c>
      <c r="H133" t="s">
        <v>2005</v>
      </c>
      <c r="I133">
        <v>92670000</v>
      </c>
      <c r="J133" t="s">
        <v>859</v>
      </c>
      <c r="K133">
        <f>Cleaned_data[[#This Row],[Volume (24h) USD $]]/Cleaned_data[[#This Row],[Curculating Supply $]]</f>
        <v>4.198338189273767E-3</v>
      </c>
      <c r="L133">
        <f>RANK(Cleaned_data[[#This Row],[Market Cap $]],Cleaned_data[Market Cap $],0)</f>
        <v>133</v>
      </c>
      <c r="M133" t="str">
        <f t="shared" si="2"/>
        <v>0-0.5</v>
      </c>
    </row>
    <row r="134" spans="1:13" x14ac:dyDescent="0.3">
      <c r="A134" t="s">
        <v>860</v>
      </c>
      <c r="B134" t="s">
        <v>861</v>
      </c>
      <c r="C134">
        <v>1.89E-2</v>
      </c>
      <c r="D134">
        <v>1.4E-3</v>
      </c>
      <c r="E134">
        <v>9310000</v>
      </c>
      <c r="F134" t="s">
        <v>2006</v>
      </c>
      <c r="G134">
        <v>1170000</v>
      </c>
      <c r="H134" t="s">
        <v>2007</v>
      </c>
      <c r="I134">
        <v>493580000</v>
      </c>
      <c r="J134" t="s">
        <v>865</v>
      </c>
      <c r="K134">
        <f>Cleaned_data[[#This Row],[Volume (24h) USD $]]/Cleaned_data[[#This Row],[Curculating Supply $]]</f>
        <v>2.3704364034199117E-3</v>
      </c>
      <c r="L134">
        <f>RANK(Cleaned_data[[#This Row],[Market Cap $]],Cleaned_data[Market Cap $],0)</f>
        <v>131</v>
      </c>
      <c r="M134" t="str">
        <f t="shared" si="2"/>
        <v>0-0.5</v>
      </c>
    </row>
    <row r="135" spans="1:13" x14ac:dyDescent="0.3">
      <c r="A135" t="s">
        <v>866</v>
      </c>
      <c r="B135" t="s">
        <v>867</v>
      </c>
      <c r="C135">
        <v>7.7000000000000002E-3</v>
      </c>
      <c r="D135">
        <v>2.8999999999999998E-3</v>
      </c>
      <c r="E135">
        <v>9300000</v>
      </c>
      <c r="F135" t="s">
        <v>2008</v>
      </c>
      <c r="G135">
        <v>3640000</v>
      </c>
      <c r="H135" t="s">
        <v>2009</v>
      </c>
      <c r="I135">
        <v>1200000000</v>
      </c>
      <c r="J135" t="s">
        <v>688</v>
      </c>
      <c r="K135">
        <f>Cleaned_data[[#This Row],[Volume (24h) USD $]]/Cleaned_data[[#This Row],[Curculating Supply $]]</f>
        <v>3.0333333333333332E-3</v>
      </c>
      <c r="L135">
        <f>RANK(Cleaned_data[[#This Row],[Market Cap $]],Cleaned_data[Market Cap $],0)</f>
        <v>132</v>
      </c>
      <c r="M135" t="str">
        <f t="shared" si="2"/>
        <v>0-0.5</v>
      </c>
    </row>
    <row r="136" spans="1:13" x14ac:dyDescent="0.3">
      <c r="A136" t="s">
        <v>871</v>
      </c>
      <c r="B136" t="s">
        <v>872</v>
      </c>
      <c r="C136">
        <v>2.1000000000000001E-2</v>
      </c>
      <c r="D136">
        <v>1.4E-3</v>
      </c>
      <c r="E136">
        <v>9250000</v>
      </c>
      <c r="F136" t="s">
        <v>2010</v>
      </c>
      <c r="G136">
        <v>2480000</v>
      </c>
      <c r="H136" t="s">
        <v>2011</v>
      </c>
      <c r="I136">
        <v>441620000</v>
      </c>
      <c r="J136" t="s">
        <v>876</v>
      </c>
      <c r="K136">
        <f>Cleaned_data[[#This Row],[Volume (24h) USD $]]/Cleaned_data[[#This Row],[Curculating Supply $]]</f>
        <v>5.6156876953036543E-3</v>
      </c>
      <c r="L136">
        <f>RANK(Cleaned_data[[#This Row],[Market Cap $]],Cleaned_data[Market Cap $],0)</f>
        <v>134</v>
      </c>
      <c r="M136" t="str">
        <f t="shared" si="2"/>
        <v>0-0.5</v>
      </c>
    </row>
    <row r="137" spans="1:13" x14ac:dyDescent="0.3">
      <c r="A137" t="s">
        <v>877</v>
      </c>
      <c r="B137" t="s">
        <v>878</v>
      </c>
      <c r="C137">
        <v>6.6E-3</v>
      </c>
      <c r="D137">
        <v>1.8499999999999999E-2</v>
      </c>
      <c r="E137">
        <v>9250000</v>
      </c>
      <c r="F137" t="s">
        <v>2010</v>
      </c>
      <c r="G137">
        <v>51220000</v>
      </c>
      <c r="H137" t="s">
        <v>2012</v>
      </c>
      <c r="I137">
        <v>1400000000</v>
      </c>
      <c r="J137" t="s">
        <v>326</v>
      </c>
      <c r="K137">
        <f>Cleaned_data[[#This Row],[Volume (24h) USD $]]/Cleaned_data[[#This Row],[Curculating Supply $]]</f>
        <v>3.6585714285714284E-2</v>
      </c>
      <c r="L137">
        <f>RANK(Cleaned_data[[#This Row],[Market Cap $]],Cleaned_data[Market Cap $],0)</f>
        <v>134</v>
      </c>
      <c r="M137" t="str">
        <f t="shared" si="2"/>
        <v>0-0.5</v>
      </c>
    </row>
    <row r="138" spans="1:13" x14ac:dyDescent="0.3">
      <c r="A138" t="s">
        <v>882</v>
      </c>
      <c r="B138" t="s">
        <v>883</v>
      </c>
      <c r="C138">
        <v>2.58E-2</v>
      </c>
      <c r="D138">
        <v>1.3100000000000001E-2</v>
      </c>
      <c r="E138">
        <v>9250000</v>
      </c>
      <c r="F138" t="s">
        <v>2010</v>
      </c>
      <c r="G138">
        <v>804790</v>
      </c>
      <c r="H138" t="s">
        <v>2013</v>
      </c>
      <c r="I138">
        <v>359110000</v>
      </c>
      <c r="J138" t="s">
        <v>887</v>
      </c>
      <c r="K138">
        <f>Cleaned_data[[#This Row],[Volume (24h) USD $]]/Cleaned_data[[#This Row],[Curculating Supply $]]</f>
        <v>2.24106819637437E-3</v>
      </c>
      <c r="L138">
        <f>RANK(Cleaned_data[[#This Row],[Market Cap $]],Cleaned_data[Market Cap $],0)</f>
        <v>134</v>
      </c>
      <c r="M138" t="str">
        <f t="shared" si="2"/>
        <v>0-0.5</v>
      </c>
    </row>
    <row r="139" spans="1:13" x14ac:dyDescent="0.3">
      <c r="A139" t="s">
        <v>888</v>
      </c>
      <c r="B139" t="s">
        <v>889</v>
      </c>
      <c r="C139">
        <v>7.0999999999999994E-2</v>
      </c>
      <c r="D139">
        <v>1.1000000000000001E-3</v>
      </c>
      <c r="E139">
        <v>9200000</v>
      </c>
      <c r="F139" t="s">
        <v>2014</v>
      </c>
      <c r="G139">
        <v>353410</v>
      </c>
      <c r="H139" t="s">
        <v>2015</v>
      </c>
      <c r="I139">
        <v>129550000.00000001</v>
      </c>
      <c r="J139" t="s">
        <v>893</v>
      </c>
      <c r="K139">
        <f>Cleaned_data[[#This Row],[Volume (24h) USD $]]/Cleaned_data[[#This Row],[Curculating Supply $]]</f>
        <v>2.7279814743342338E-3</v>
      </c>
      <c r="L139">
        <f>RANK(Cleaned_data[[#This Row],[Market Cap $]],Cleaned_data[Market Cap $],0)</f>
        <v>137</v>
      </c>
      <c r="M139" t="str">
        <f t="shared" si="2"/>
        <v>0-0.5</v>
      </c>
    </row>
    <row r="140" spans="1:13" x14ac:dyDescent="0.3">
      <c r="A140" t="s">
        <v>894</v>
      </c>
      <c r="B140" t="s">
        <v>895</v>
      </c>
      <c r="C140">
        <v>9.1999999999999998E-3</v>
      </c>
      <c r="D140">
        <v>2.0199999999999999E-2</v>
      </c>
      <c r="E140">
        <v>9170000</v>
      </c>
      <c r="F140" t="s">
        <v>2016</v>
      </c>
      <c r="G140">
        <v>4210000</v>
      </c>
      <c r="H140" t="s">
        <v>658</v>
      </c>
      <c r="I140">
        <v>999940000</v>
      </c>
      <c r="J140" t="s">
        <v>900</v>
      </c>
      <c r="K140">
        <f>Cleaned_data[[#This Row],[Volume (24h) USD $]]/Cleaned_data[[#This Row],[Curculating Supply $]]</f>
        <v>4.2102526151569092E-3</v>
      </c>
      <c r="L140">
        <f>RANK(Cleaned_data[[#This Row],[Market Cap $]],Cleaned_data[Market Cap $],0)</f>
        <v>138</v>
      </c>
      <c r="M140" t="str">
        <f t="shared" si="2"/>
        <v>0-0.5</v>
      </c>
    </row>
    <row r="141" spans="1:13" x14ac:dyDescent="0.3">
      <c r="A141" t="s">
        <v>901</v>
      </c>
      <c r="B141" t="s">
        <v>902</v>
      </c>
      <c r="C141">
        <v>5.0799999999999998E-2</v>
      </c>
      <c r="D141">
        <v>7.4000000000000003E-3</v>
      </c>
      <c r="E141">
        <v>9130000</v>
      </c>
      <c r="F141" t="s">
        <v>2017</v>
      </c>
      <c r="G141">
        <v>1060000</v>
      </c>
      <c r="H141" t="s">
        <v>2018</v>
      </c>
      <c r="I141">
        <v>179640000</v>
      </c>
      <c r="J141" t="s">
        <v>907</v>
      </c>
      <c r="K141">
        <f>Cleaned_data[[#This Row],[Volume (24h) USD $]]/Cleaned_data[[#This Row],[Curculating Supply $]]</f>
        <v>5.9006902694277441E-3</v>
      </c>
      <c r="L141">
        <f>RANK(Cleaned_data[[#This Row],[Market Cap $]],Cleaned_data[Market Cap $],0)</f>
        <v>139</v>
      </c>
      <c r="M141" t="str">
        <f t="shared" si="2"/>
        <v>0-0.5</v>
      </c>
    </row>
    <row r="142" spans="1:13" x14ac:dyDescent="0.3">
      <c r="A142" t="s">
        <v>908</v>
      </c>
      <c r="B142" t="s">
        <v>909</v>
      </c>
      <c r="C142">
        <v>2.5600000000000001E-2</v>
      </c>
      <c r="D142">
        <v>5.9999999999999995E-4</v>
      </c>
      <c r="E142">
        <v>9100000</v>
      </c>
      <c r="F142" t="s">
        <v>2019</v>
      </c>
      <c r="G142">
        <v>227090</v>
      </c>
      <c r="H142" t="s">
        <v>2020</v>
      </c>
      <c r="I142">
        <v>356280000</v>
      </c>
      <c r="J142" t="s">
        <v>913</v>
      </c>
      <c r="K142">
        <f>Cleaned_data[[#This Row],[Volume (24h) USD $]]/Cleaned_data[[#This Row],[Curculating Supply $]]</f>
        <v>6.3739193892444141E-4</v>
      </c>
      <c r="L142">
        <f>RANK(Cleaned_data[[#This Row],[Market Cap $]],Cleaned_data[Market Cap $],0)</f>
        <v>140</v>
      </c>
      <c r="M142" t="str">
        <f t="shared" si="2"/>
        <v>0-0.5</v>
      </c>
    </row>
    <row r="143" spans="1:13" x14ac:dyDescent="0.3">
      <c r="A143" t="s">
        <v>914</v>
      </c>
      <c r="B143" t="s">
        <v>915</v>
      </c>
      <c r="C143">
        <v>3.3999999999999998E-3</v>
      </c>
      <c r="D143">
        <v>2.9999999999999997E-4</v>
      </c>
      <c r="E143">
        <v>9090000</v>
      </c>
      <c r="F143" t="s">
        <v>2021</v>
      </c>
      <c r="G143">
        <v>159180</v>
      </c>
      <c r="H143" t="s">
        <v>2022</v>
      </c>
      <c r="I143">
        <v>2660000000</v>
      </c>
      <c r="J143" t="s">
        <v>919</v>
      </c>
      <c r="K143">
        <f>Cleaned_data[[#This Row],[Volume (24h) USD $]]/Cleaned_data[[#This Row],[Curculating Supply $]]</f>
        <v>5.9842105263157891E-5</v>
      </c>
      <c r="L143">
        <f>RANK(Cleaned_data[[#This Row],[Market Cap $]],Cleaned_data[Market Cap $],0)</f>
        <v>141</v>
      </c>
      <c r="M143" t="str">
        <f t="shared" si="2"/>
        <v>0-0.5</v>
      </c>
    </row>
    <row r="144" spans="1:13" x14ac:dyDescent="0.3">
      <c r="A144" t="s">
        <v>920</v>
      </c>
      <c r="B144" t="s">
        <v>921</v>
      </c>
      <c r="C144">
        <v>3.1800000000000002E-2</v>
      </c>
      <c r="D144">
        <v>5.4000000000000003E-3</v>
      </c>
      <c r="E144">
        <v>9090000</v>
      </c>
      <c r="F144" t="s">
        <v>2021</v>
      </c>
      <c r="G144">
        <v>3450000</v>
      </c>
      <c r="H144" t="s">
        <v>2023</v>
      </c>
      <c r="I144">
        <v>286300000</v>
      </c>
      <c r="J144" t="s">
        <v>924</v>
      </c>
      <c r="K144">
        <f>Cleaned_data[[#This Row],[Volume (24h) USD $]]/Cleaned_data[[#This Row],[Curculating Supply $]]</f>
        <v>1.2050296891372686E-2</v>
      </c>
      <c r="L144">
        <f>RANK(Cleaned_data[[#This Row],[Market Cap $]],Cleaned_data[Market Cap $],0)</f>
        <v>141</v>
      </c>
      <c r="M144" t="str">
        <f t="shared" si="2"/>
        <v>0-0.5</v>
      </c>
    </row>
    <row r="145" spans="1:13" x14ac:dyDescent="0.3">
      <c r="A145" t="s">
        <v>925</v>
      </c>
      <c r="B145" t="s">
        <v>926</v>
      </c>
      <c r="C145">
        <v>2.3E-3</v>
      </c>
      <c r="D145">
        <v>4.7000000000000002E-3</v>
      </c>
      <c r="E145">
        <v>9090000</v>
      </c>
      <c r="F145" t="s">
        <v>2021</v>
      </c>
      <c r="G145">
        <v>491840</v>
      </c>
      <c r="H145" t="s">
        <v>2024</v>
      </c>
      <c r="I145">
        <v>3940000000</v>
      </c>
      <c r="J145" t="s">
        <v>929</v>
      </c>
      <c r="K145">
        <f>Cleaned_data[[#This Row],[Volume (24h) USD $]]/Cleaned_data[[#This Row],[Curculating Supply $]]</f>
        <v>1.2483248730964466E-4</v>
      </c>
      <c r="L145">
        <f>RANK(Cleaned_data[[#This Row],[Market Cap $]],Cleaned_data[Market Cap $],0)</f>
        <v>141</v>
      </c>
      <c r="M145" t="str">
        <f t="shared" si="2"/>
        <v>0-0.5</v>
      </c>
    </row>
    <row r="146" spans="1:13" x14ac:dyDescent="0.3">
      <c r="A146" t="s">
        <v>930</v>
      </c>
      <c r="B146" t="s">
        <v>931</v>
      </c>
      <c r="C146">
        <v>3.7000000000000002E-3</v>
      </c>
      <c r="D146">
        <v>1.8700000000000001E-2</v>
      </c>
      <c r="E146">
        <v>8780000</v>
      </c>
      <c r="F146" t="s">
        <v>2025</v>
      </c>
      <c r="G146">
        <v>4420000</v>
      </c>
      <c r="H146" t="s">
        <v>2026</v>
      </c>
      <c r="I146">
        <v>2370000000</v>
      </c>
      <c r="J146" t="s">
        <v>936</v>
      </c>
      <c r="K146">
        <f>Cleaned_data[[#This Row],[Volume (24h) USD $]]/Cleaned_data[[#This Row],[Curculating Supply $]]</f>
        <v>1.8649789029535865E-3</v>
      </c>
      <c r="L146">
        <f>RANK(Cleaned_data[[#This Row],[Market Cap $]],Cleaned_data[Market Cap $],0)</f>
        <v>144</v>
      </c>
      <c r="M146" t="str">
        <f t="shared" si="2"/>
        <v>0-0.5</v>
      </c>
    </row>
    <row r="147" spans="1:13" x14ac:dyDescent="0.3">
      <c r="A147" t="s">
        <v>937</v>
      </c>
      <c r="B147" t="s">
        <v>938</v>
      </c>
      <c r="C147">
        <v>1.8200000000000001E-2</v>
      </c>
      <c r="D147">
        <v>6.1000000000000004E-3</v>
      </c>
      <c r="E147">
        <v>7420000</v>
      </c>
      <c r="F147" t="s">
        <v>2027</v>
      </c>
      <c r="G147">
        <v>3920000</v>
      </c>
      <c r="H147" t="s">
        <v>2028</v>
      </c>
      <c r="I147">
        <v>409110000</v>
      </c>
      <c r="J147" t="s">
        <v>942</v>
      </c>
      <c r="K147">
        <f>Cleaned_data[[#This Row],[Volume (24h) USD $]]/Cleaned_data[[#This Row],[Curculating Supply $]]</f>
        <v>9.5817750727188282E-3</v>
      </c>
      <c r="L147">
        <f>RANK(Cleaned_data[[#This Row],[Market Cap $]],Cleaned_data[Market Cap $],0)</f>
        <v>145</v>
      </c>
      <c r="M147" t="str">
        <f t="shared" si="2"/>
        <v>0-0.5</v>
      </c>
    </row>
    <row r="148" spans="1:13" x14ac:dyDescent="0.3">
      <c r="A148" t="s">
        <v>943</v>
      </c>
      <c r="B148" t="s">
        <v>944</v>
      </c>
      <c r="C148">
        <v>1.6400000000000001E-2</v>
      </c>
      <c r="D148">
        <v>8.9999999999999998E-4</v>
      </c>
      <c r="E148">
        <v>7410000</v>
      </c>
      <c r="F148" t="s">
        <v>2029</v>
      </c>
      <c r="G148">
        <v>883550</v>
      </c>
      <c r="H148" t="s">
        <v>2030</v>
      </c>
      <c r="I148">
        <v>450830000</v>
      </c>
      <c r="J148" t="s">
        <v>949</v>
      </c>
      <c r="K148">
        <f>Cleaned_data[[#This Row],[Volume (24h) USD $]]/Cleaned_data[[#This Row],[Curculating Supply $]]</f>
        <v>1.9598296475389835E-3</v>
      </c>
      <c r="L148">
        <f>RANK(Cleaned_data[[#This Row],[Market Cap $]],Cleaned_data[Market Cap $],0)</f>
        <v>146</v>
      </c>
      <c r="M148" t="str">
        <f t="shared" si="2"/>
        <v>0-0.5</v>
      </c>
    </row>
    <row r="149" spans="1:13" x14ac:dyDescent="0.3">
      <c r="A149" t="s">
        <v>950</v>
      </c>
      <c r="B149" t="s">
        <v>951</v>
      </c>
      <c r="C149">
        <v>101.12</v>
      </c>
      <c r="D149">
        <v>1E-4</v>
      </c>
      <c r="E149">
        <v>7400000</v>
      </c>
      <c r="F149" t="s">
        <v>2031</v>
      </c>
      <c r="G149">
        <v>1080000</v>
      </c>
      <c r="H149" t="s">
        <v>2032</v>
      </c>
      <c r="I149">
        <v>73260</v>
      </c>
      <c r="J149" t="s">
        <v>955</v>
      </c>
      <c r="K149">
        <f>Cleaned_data[[#This Row],[Volume (24h) USD $]]/Cleaned_data[[#This Row],[Curculating Supply $]]</f>
        <v>14.742014742014742</v>
      </c>
      <c r="L149">
        <f>RANK(Cleaned_data[[#This Row],[Market Cap $]],Cleaned_data[Market Cap $],0)</f>
        <v>147</v>
      </c>
      <c r="M149" t="str">
        <f t="shared" si="2"/>
        <v>100-10000</v>
      </c>
    </row>
    <row r="150" spans="1:13" x14ac:dyDescent="0.3">
      <c r="A150" t="s">
        <v>956</v>
      </c>
      <c r="B150" t="s">
        <v>956</v>
      </c>
      <c r="C150">
        <v>7.4000000000000003E-3</v>
      </c>
      <c r="D150">
        <v>2.9999999999999997E-4</v>
      </c>
      <c r="E150">
        <v>7390000</v>
      </c>
      <c r="F150" t="s">
        <v>2033</v>
      </c>
      <c r="G150">
        <v>459410</v>
      </c>
      <c r="H150" t="s">
        <v>2034</v>
      </c>
      <c r="I150">
        <v>999190000</v>
      </c>
      <c r="J150" t="s">
        <v>960</v>
      </c>
      <c r="K150">
        <f>Cleaned_data[[#This Row],[Volume (24h) USD $]]/Cleaned_data[[#This Row],[Curculating Supply $]]</f>
        <v>4.5978242376324823E-4</v>
      </c>
      <c r="L150">
        <f>RANK(Cleaned_data[[#This Row],[Market Cap $]],Cleaned_data[Market Cap $],0)</f>
        <v>148</v>
      </c>
      <c r="M150" t="str">
        <f t="shared" si="2"/>
        <v>0-0.5</v>
      </c>
    </row>
    <row r="151" spans="1:13" x14ac:dyDescent="0.3">
      <c r="A151" t="s">
        <v>961</v>
      </c>
      <c r="B151" t="s">
        <v>962</v>
      </c>
      <c r="C151">
        <v>8.9999999999999998E-4</v>
      </c>
      <c r="D151">
        <v>1.1299999999999999E-2</v>
      </c>
      <c r="E151">
        <v>7370000</v>
      </c>
      <c r="F151" t="s">
        <v>2035</v>
      </c>
      <c r="G151">
        <v>477960</v>
      </c>
      <c r="H151" t="s">
        <v>2036</v>
      </c>
      <c r="I151">
        <v>8390000000.000001</v>
      </c>
      <c r="J151" t="s">
        <v>966</v>
      </c>
      <c r="K151">
        <f>Cleaned_data[[#This Row],[Volume (24h) USD $]]/Cleaned_data[[#This Row],[Curculating Supply $]]</f>
        <v>5.696781883194278E-5</v>
      </c>
      <c r="L151">
        <f>RANK(Cleaned_data[[#This Row],[Market Cap $]],Cleaned_data[Market Cap $],0)</f>
        <v>149</v>
      </c>
      <c r="M151" t="str">
        <f t="shared" si="2"/>
        <v>0-0.5</v>
      </c>
    </row>
    <row r="152" spans="1:13" x14ac:dyDescent="0.3">
      <c r="A152" t="s">
        <v>967</v>
      </c>
      <c r="B152" t="s">
        <v>968</v>
      </c>
      <c r="C152">
        <v>8.6E-3</v>
      </c>
      <c r="D152">
        <v>2.0000000000000001E-4</v>
      </c>
      <c r="E152">
        <v>7360000</v>
      </c>
      <c r="F152" t="s">
        <v>2037</v>
      </c>
      <c r="G152">
        <v>50840000</v>
      </c>
      <c r="H152" t="s">
        <v>2038</v>
      </c>
      <c r="I152">
        <v>857370000</v>
      </c>
      <c r="J152" t="s">
        <v>972</v>
      </c>
      <c r="K152">
        <f>Cleaned_data[[#This Row],[Volume (24h) USD $]]/Cleaned_data[[#This Row],[Curculating Supply $]]</f>
        <v>5.9297619464175326E-2</v>
      </c>
      <c r="L152">
        <f>RANK(Cleaned_data[[#This Row],[Market Cap $]],Cleaned_data[Market Cap $],0)</f>
        <v>150</v>
      </c>
      <c r="M152" t="str">
        <f t="shared" si="2"/>
        <v>0-0.5</v>
      </c>
    </row>
    <row r="153" spans="1:13" x14ac:dyDescent="0.3">
      <c r="A153" t="s">
        <v>973</v>
      </c>
      <c r="B153" t="s">
        <v>974</v>
      </c>
      <c r="C153">
        <v>161.38</v>
      </c>
      <c r="D153">
        <v>4.1000000000000003E-3</v>
      </c>
      <c r="E153">
        <v>7330000</v>
      </c>
      <c r="F153" t="s">
        <v>2039</v>
      </c>
      <c r="G153">
        <v>9810000</v>
      </c>
      <c r="H153" t="s">
        <v>2040</v>
      </c>
      <c r="I153">
        <v>45470</v>
      </c>
      <c r="J153" t="s">
        <v>978</v>
      </c>
      <c r="K153">
        <f>Cleaned_data[[#This Row],[Volume (24h) USD $]]/Cleaned_data[[#This Row],[Curculating Supply $]]</f>
        <v>215.74664614031229</v>
      </c>
      <c r="L153">
        <f>RANK(Cleaned_data[[#This Row],[Market Cap $]],Cleaned_data[Market Cap $],0)</f>
        <v>151</v>
      </c>
      <c r="M153" t="str">
        <f t="shared" si="2"/>
        <v>100-10000</v>
      </c>
    </row>
    <row r="154" spans="1:13" x14ac:dyDescent="0.3">
      <c r="A154" t="s">
        <v>979</v>
      </c>
      <c r="B154" t="s">
        <v>980</v>
      </c>
      <c r="C154">
        <v>65.39</v>
      </c>
      <c r="D154">
        <v>4.0000000000000001E-3</v>
      </c>
      <c r="E154">
        <v>7290000</v>
      </c>
      <c r="F154" t="s">
        <v>2041</v>
      </c>
      <c r="G154">
        <v>522049.99999999994</v>
      </c>
      <c r="H154" t="s">
        <v>2042</v>
      </c>
      <c r="I154">
        <v>111480</v>
      </c>
      <c r="J154" t="s">
        <v>985</v>
      </c>
      <c r="K154">
        <f>Cleaned_data[[#This Row],[Volume (24h) USD $]]/Cleaned_data[[#This Row],[Curculating Supply $]]</f>
        <v>4.6829027628274122</v>
      </c>
      <c r="L154">
        <f>RANK(Cleaned_data[[#This Row],[Market Cap $]],Cleaned_data[Market Cap $],0)</f>
        <v>152</v>
      </c>
      <c r="M154" t="str">
        <f t="shared" si="2"/>
        <v>10-100</v>
      </c>
    </row>
    <row r="155" spans="1:13" x14ac:dyDescent="0.3">
      <c r="A155" t="s">
        <v>986</v>
      </c>
      <c r="B155" t="s">
        <v>987</v>
      </c>
      <c r="C155">
        <v>2.3999999999999998E-3</v>
      </c>
      <c r="D155">
        <v>2.0000000000000001E-4</v>
      </c>
      <c r="E155">
        <v>7270000</v>
      </c>
      <c r="F155" t="s">
        <v>2043</v>
      </c>
      <c r="G155">
        <v>290160</v>
      </c>
      <c r="H155" t="s">
        <v>2044</v>
      </c>
      <c r="I155">
        <v>3000000000</v>
      </c>
      <c r="J155" t="s">
        <v>991</v>
      </c>
      <c r="K155">
        <f>Cleaned_data[[#This Row],[Volume (24h) USD $]]/Cleaned_data[[#This Row],[Curculating Supply $]]</f>
        <v>9.6719999999999996E-5</v>
      </c>
      <c r="L155">
        <f>RANK(Cleaned_data[[#This Row],[Market Cap $]],Cleaned_data[Market Cap $],0)</f>
        <v>153</v>
      </c>
      <c r="M155" t="str">
        <f t="shared" si="2"/>
        <v>0-0.5</v>
      </c>
    </row>
    <row r="156" spans="1:13" x14ac:dyDescent="0.3">
      <c r="A156" t="s">
        <v>992</v>
      </c>
      <c r="B156" t="s">
        <v>993</v>
      </c>
      <c r="C156">
        <v>920.43</v>
      </c>
      <c r="D156">
        <v>5.8999999999999999E-3</v>
      </c>
      <c r="E156">
        <v>7270000</v>
      </c>
      <c r="F156" t="s">
        <v>2043</v>
      </c>
      <c r="G156">
        <v>6180000</v>
      </c>
      <c r="H156" t="s">
        <v>2045</v>
      </c>
      <c r="I156">
        <v>7890</v>
      </c>
      <c r="J156" t="s">
        <v>997</v>
      </c>
      <c r="K156">
        <f>Cleaned_data[[#This Row],[Volume (24h) USD $]]/Cleaned_data[[#This Row],[Curculating Supply $]]</f>
        <v>783.26996197718631</v>
      </c>
      <c r="L156">
        <f>RANK(Cleaned_data[[#This Row],[Market Cap $]],Cleaned_data[Market Cap $],0)</f>
        <v>153</v>
      </c>
      <c r="M156" t="str">
        <f t="shared" si="2"/>
        <v>100-10000</v>
      </c>
    </row>
    <row r="157" spans="1:13" x14ac:dyDescent="0.3">
      <c r="A157" t="s">
        <v>998</v>
      </c>
      <c r="B157" t="s">
        <v>999</v>
      </c>
      <c r="C157">
        <v>0.83179999999999998</v>
      </c>
      <c r="D157">
        <v>5.0000000000000001E-4</v>
      </c>
      <c r="E157">
        <v>7260000</v>
      </c>
      <c r="F157" t="s">
        <v>2046</v>
      </c>
      <c r="G157">
        <v>2210000</v>
      </c>
      <c r="H157" t="s">
        <v>1871</v>
      </c>
      <c r="I157">
        <v>8730000</v>
      </c>
      <c r="J157" t="s">
        <v>1002</v>
      </c>
      <c r="K157">
        <f>Cleaned_data[[#This Row],[Volume (24h) USD $]]/Cleaned_data[[#This Row],[Curculating Supply $]]</f>
        <v>0.2531500572737686</v>
      </c>
      <c r="L157">
        <f>RANK(Cleaned_data[[#This Row],[Market Cap $]],Cleaned_data[Market Cap $],0)</f>
        <v>155</v>
      </c>
      <c r="M157" t="str">
        <f t="shared" si="2"/>
        <v>0.5-1</v>
      </c>
    </row>
    <row r="158" spans="1:13" x14ac:dyDescent="0.3">
      <c r="A158" t="s">
        <v>1003</v>
      </c>
      <c r="B158" t="s">
        <v>1004</v>
      </c>
      <c r="C158">
        <v>0.50470000000000004</v>
      </c>
      <c r="D158">
        <v>1.5E-3</v>
      </c>
      <c r="E158">
        <v>7240000</v>
      </c>
      <c r="F158" t="s">
        <v>2047</v>
      </c>
      <c r="G158">
        <v>1280000</v>
      </c>
      <c r="H158" t="s">
        <v>2048</v>
      </c>
      <c r="I158">
        <v>14340000</v>
      </c>
      <c r="J158" t="s">
        <v>1008</v>
      </c>
      <c r="K158">
        <f>Cleaned_data[[#This Row],[Volume (24h) USD $]]/Cleaned_data[[#This Row],[Curculating Supply $]]</f>
        <v>8.926080892608089E-2</v>
      </c>
      <c r="L158">
        <f>RANK(Cleaned_data[[#This Row],[Market Cap $]],Cleaned_data[Market Cap $],0)</f>
        <v>156</v>
      </c>
      <c r="M158" t="str">
        <f t="shared" si="2"/>
        <v>0.5-1</v>
      </c>
    </row>
    <row r="159" spans="1:13" x14ac:dyDescent="0.3">
      <c r="A159" t="s">
        <v>1009</v>
      </c>
      <c r="B159" t="s">
        <v>1010</v>
      </c>
      <c r="C159">
        <v>9.5100000000000004E-2</v>
      </c>
      <c r="D159">
        <v>2E-3</v>
      </c>
      <c r="E159">
        <v>7200000</v>
      </c>
      <c r="F159" t="s">
        <v>2049</v>
      </c>
      <c r="G159">
        <v>1020000</v>
      </c>
      <c r="H159" t="s">
        <v>539</v>
      </c>
      <c r="I159">
        <v>75750000</v>
      </c>
      <c r="J159" t="s">
        <v>1014</v>
      </c>
      <c r="K159">
        <f>Cleaned_data[[#This Row],[Volume (24h) USD $]]/Cleaned_data[[#This Row],[Curculating Supply $]]</f>
        <v>1.3465346534653465E-2</v>
      </c>
      <c r="L159">
        <f>RANK(Cleaned_data[[#This Row],[Market Cap $]],Cleaned_data[Market Cap $],0)</f>
        <v>157</v>
      </c>
      <c r="M159" t="str">
        <f t="shared" si="2"/>
        <v>0-0.5</v>
      </c>
    </row>
    <row r="160" spans="1:13" x14ac:dyDescent="0.3">
      <c r="A160" t="s">
        <v>1026</v>
      </c>
      <c r="B160" t="s">
        <v>1027</v>
      </c>
      <c r="C160">
        <v>7.7499999999999999E-2</v>
      </c>
      <c r="D160">
        <v>1.6199999999999999E-2</v>
      </c>
      <c r="E160">
        <v>5710000</v>
      </c>
      <c r="F160" t="s">
        <v>2050</v>
      </c>
      <c r="G160">
        <v>786160</v>
      </c>
      <c r="H160" t="s">
        <v>2051</v>
      </c>
      <c r="I160">
        <v>73730000</v>
      </c>
      <c r="J160" t="s">
        <v>1032</v>
      </c>
      <c r="K160">
        <f>Cleaned_data[[#This Row],[Volume (24h) USD $]]/Cleaned_data[[#This Row],[Curculating Supply $]]</f>
        <v>1.0662688186626882E-2</v>
      </c>
      <c r="L160">
        <f>RANK(Cleaned_data[[#This Row],[Market Cap $]],Cleaned_data[Market Cap $],0)</f>
        <v>159</v>
      </c>
      <c r="M160" t="str">
        <f t="shared" si="2"/>
        <v>0-0.5</v>
      </c>
    </row>
    <row r="161" spans="1:13" x14ac:dyDescent="0.3">
      <c r="A161" t="s">
        <v>1033</v>
      </c>
      <c r="B161" t="s">
        <v>1034</v>
      </c>
      <c r="C161">
        <v>0.1628</v>
      </c>
      <c r="D161">
        <v>1E-4</v>
      </c>
      <c r="E161">
        <v>5700000</v>
      </c>
      <c r="F161" t="s">
        <v>2052</v>
      </c>
      <c r="G161">
        <v>228130</v>
      </c>
      <c r="H161" t="s">
        <v>2053</v>
      </c>
      <c r="I161">
        <v>35030000</v>
      </c>
      <c r="J161" t="s">
        <v>1038</v>
      </c>
      <c r="K161">
        <f>Cleaned_data[[#This Row],[Volume (24h) USD $]]/Cleaned_data[[#This Row],[Curculating Supply $]]</f>
        <v>6.5124179274907226E-3</v>
      </c>
      <c r="L161">
        <f>RANK(Cleaned_data[[#This Row],[Market Cap $]],Cleaned_data[Market Cap $],0)</f>
        <v>160</v>
      </c>
      <c r="M161" t="str">
        <f t="shared" si="2"/>
        <v>0-0.5</v>
      </c>
    </row>
    <row r="162" spans="1:13" x14ac:dyDescent="0.3">
      <c r="A162" t="s">
        <v>1039</v>
      </c>
      <c r="B162" t="s">
        <v>1040</v>
      </c>
      <c r="C162">
        <v>9.5999999999999992E-3</v>
      </c>
      <c r="D162">
        <v>2.0999999999999999E-3</v>
      </c>
      <c r="E162">
        <v>5680000</v>
      </c>
      <c r="F162" t="s">
        <v>2054</v>
      </c>
      <c r="G162">
        <v>869130</v>
      </c>
      <c r="H162" t="s">
        <v>2055</v>
      </c>
      <c r="I162">
        <v>593560000</v>
      </c>
      <c r="J162" t="s">
        <v>1044</v>
      </c>
      <c r="K162">
        <f>Cleaned_data[[#This Row],[Volume (24h) USD $]]/Cleaned_data[[#This Row],[Curculating Supply $]]</f>
        <v>1.4642664600040434E-3</v>
      </c>
      <c r="L162">
        <f>RANK(Cleaned_data[[#This Row],[Market Cap $]],Cleaned_data[Market Cap $],0)</f>
        <v>161</v>
      </c>
      <c r="M162" t="str">
        <f t="shared" si="2"/>
        <v>0-0.5</v>
      </c>
    </row>
    <row r="163" spans="1:13" x14ac:dyDescent="0.3">
      <c r="A163" t="s">
        <v>1049</v>
      </c>
      <c r="B163" t="s">
        <v>1050</v>
      </c>
      <c r="C163">
        <v>8.9999999999999998E-4</v>
      </c>
      <c r="D163">
        <v>5.9999999999999995E-4</v>
      </c>
      <c r="E163">
        <v>5680000</v>
      </c>
      <c r="F163" t="s">
        <v>2054</v>
      </c>
      <c r="G163">
        <v>540340</v>
      </c>
      <c r="H163" t="s">
        <v>2056</v>
      </c>
      <c r="I163">
        <v>6230000000</v>
      </c>
      <c r="J163" t="s">
        <v>1053</v>
      </c>
      <c r="K163">
        <f>Cleaned_data[[#This Row],[Volume (24h) USD $]]/Cleaned_data[[#This Row],[Curculating Supply $]]</f>
        <v>8.6731942215088279E-5</v>
      </c>
      <c r="L163">
        <f>RANK(Cleaned_data[[#This Row],[Market Cap $]],Cleaned_data[Market Cap $],0)</f>
        <v>161</v>
      </c>
      <c r="M163" t="str">
        <f t="shared" si="2"/>
        <v>0-0.5</v>
      </c>
    </row>
    <row r="164" spans="1:13" x14ac:dyDescent="0.3">
      <c r="A164" t="s">
        <v>1054</v>
      </c>
      <c r="B164" t="s">
        <v>1055</v>
      </c>
      <c r="C164">
        <v>0.24579999999999999</v>
      </c>
      <c r="D164">
        <v>5.1999999999999998E-3</v>
      </c>
      <c r="E164">
        <v>5670000</v>
      </c>
      <c r="F164" t="s">
        <v>2057</v>
      </c>
      <c r="G164">
        <v>237940</v>
      </c>
      <c r="H164" t="s">
        <v>2058</v>
      </c>
      <c r="I164">
        <v>23080000</v>
      </c>
      <c r="J164" t="s">
        <v>1059</v>
      </c>
      <c r="K164">
        <f>Cleaned_data[[#This Row],[Volume (24h) USD $]]/Cleaned_data[[#This Row],[Curculating Supply $]]</f>
        <v>1.0309358752166377E-2</v>
      </c>
      <c r="L164">
        <f>RANK(Cleaned_data[[#This Row],[Market Cap $]],Cleaned_data[Market Cap $],0)</f>
        <v>163</v>
      </c>
      <c r="M164" t="str">
        <f t="shared" si="2"/>
        <v>0-0.5</v>
      </c>
    </row>
    <row r="165" spans="1:13" x14ac:dyDescent="0.3">
      <c r="A165" t="s">
        <v>1060</v>
      </c>
      <c r="B165" t="s">
        <v>1061</v>
      </c>
      <c r="C165">
        <v>0.23449999999999999</v>
      </c>
      <c r="D165">
        <v>7.9000000000000008E-3</v>
      </c>
      <c r="E165">
        <v>5640000</v>
      </c>
      <c r="F165" t="s">
        <v>2059</v>
      </c>
      <c r="G165">
        <v>210420</v>
      </c>
      <c r="H165" t="s">
        <v>2060</v>
      </c>
      <c r="I165">
        <v>24080000</v>
      </c>
      <c r="J165" t="s">
        <v>1066</v>
      </c>
      <c r="K165">
        <f>Cleaned_data[[#This Row],[Volume (24h) USD $]]/Cleaned_data[[#This Row],[Curculating Supply $]]</f>
        <v>8.7383720930232552E-3</v>
      </c>
      <c r="L165">
        <f>RANK(Cleaned_data[[#This Row],[Market Cap $]],Cleaned_data[Market Cap $],0)</f>
        <v>164</v>
      </c>
      <c r="M165" t="str">
        <f t="shared" si="2"/>
        <v>0-0.5</v>
      </c>
    </row>
    <row r="166" spans="1:13" x14ac:dyDescent="0.3">
      <c r="A166" t="s">
        <v>1067</v>
      </c>
      <c r="B166" t="s">
        <v>1068</v>
      </c>
      <c r="C166">
        <v>4.7000000000000002E-3</v>
      </c>
      <c r="D166">
        <v>4.5999999999999999E-3</v>
      </c>
      <c r="E166">
        <v>5640000</v>
      </c>
      <c r="F166" t="s">
        <v>2059</v>
      </c>
      <c r="G166">
        <v>1920000</v>
      </c>
      <c r="H166" t="s">
        <v>2061</v>
      </c>
      <c r="I166">
        <v>1210000000</v>
      </c>
      <c r="J166" t="s">
        <v>1072</v>
      </c>
      <c r="K166">
        <f>Cleaned_data[[#This Row],[Volume (24h) USD $]]/Cleaned_data[[#This Row],[Curculating Supply $]]</f>
        <v>1.5867768595041322E-3</v>
      </c>
      <c r="L166">
        <f>RANK(Cleaned_data[[#This Row],[Market Cap $]],Cleaned_data[Market Cap $],0)</f>
        <v>164</v>
      </c>
      <c r="M166" t="str">
        <f t="shared" si="2"/>
        <v>0-0.5</v>
      </c>
    </row>
    <row r="167" spans="1:13" x14ac:dyDescent="0.3">
      <c r="A167" t="s">
        <v>1073</v>
      </c>
      <c r="B167" t="s">
        <v>1074</v>
      </c>
      <c r="C167">
        <v>65.86</v>
      </c>
      <c r="D167">
        <v>6.0000000000000001E-3</v>
      </c>
      <c r="E167">
        <v>5630000</v>
      </c>
      <c r="F167" t="s">
        <v>2062</v>
      </c>
      <c r="G167">
        <v>1510000</v>
      </c>
      <c r="H167" t="s">
        <v>2063</v>
      </c>
      <c r="I167">
        <v>85480</v>
      </c>
      <c r="J167" t="s">
        <v>1079</v>
      </c>
      <c r="K167">
        <f>Cleaned_data[[#This Row],[Volume (24h) USD $]]/Cleaned_data[[#This Row],[Curculating Supply $]]</f>
        <v>17.664950865699581</v>
      </c>
      <c r="L167">
        <f>RANK(Cleaned_data[[#This Row],[Market Cap $]],Cleaned_data[Market Cap $],0)</f>
        <v>166</v>
      </c>
      <c r="M167" t="str">
        <f t="shared" si="2"/>
        <v>10-100</v>
      </c>
    </row>
    <row r="168" spans="1:13" x14ac:dyDescent="0.3">
      <c r="A168" t="s">
        <v>1085</v>
      </c>
      <c r="B168" t="s">
        <v>1086</v>
      </c>
      <c r="C168">
        <v>1.0999999999999999E-2</v>
      </c>
      <c r="D168">
        <v>5.7999999999999996E-3</v>
      </c>
      <c r="E168">
        <v>5600000</v>
      </c>
      <c r="F168" t="s">
        <v>2064</v>
      </c>
      <c r="G168">
        <v>1040000</v>
      </c>
      <c r="H168" t="s">
        <v>2065</v>
      </c>
      <c r="I168">
        <v>510510000</v>
      </c>
      <c r="J168" t="s">
        <v>1090</v>
      </c>
      <c r="K168">
        <f>Cleaned_data[[#This Row],[Volume (24h) USD $]]/Cleaned_data[[#This Row],[Curculating Supply $]]</f>
        <v>2.0371785077667429E-3</v>
      </c>
      <c r="L168">
        <f>RANK(Cleaned_data[[#This Row],[Market Cap $]],Cleaned_data[Market Cap $],0)</f>
        <v>167</v>
      </c>
      <c r="M168" t="str">
        <f t="shared" si="2"/>
        <v>0-0.5</v>
      </c>
    </row>
    <row r="169" spans="1:13" x14ac:dyDescent="0.3">
      <c r="A169" t="s">
        <v>1091</v>
      </c>
      <c r="B169" t="s">
        <v>1092</v>
      </c>
      <c r="C169">
        <v>226.47</v>
      </c>
      <c r="D169">
        <v>1.1000000000000001E-3</v>
      </c>
      <c r="E169">
        <v>5590000</v>
      </c>
      <c r="F169" t="s">
        <v>2066</v>
      </c>
      <c r="G169">
        <v>129080.00000000001</v>
      </c>
      <c r="H169" t="s">
        <v>2067</v>
      </c>
      <c r="I169">
        <v>24700</v>
      </c>
      <c r="J169" t="s">
        <v>1096</v>
      </c>
      <c r="K169">
        <f>Cleaned_data[[#This Row],[Volume (24h) USD $]]/Cleaned_data[[#This Row],[Curculating Supply $]]</f>
        <v>5.2259109311740897</v>
      </c>
      <c r="L169">
        <f>RANK(Cleaned_data[[#This Row],[Market Cap $]],Cleaned_data[Market Cap $],0)</f>
        <v>168</v>
      </c>
      <c r="M169" t="str">
        <f t="shared" si="2"/>
        <v>100-10000</v>
      </c>
    </row>
    <row r="170" spans="1:13" x14ac:dyDescent="0.3">
      <c r="A170" t="s">
        <v>1097</v>
      </c>
      <c r="B170" t="s">
        <v>1098</v>
      </c>
      <c r="C170">
        <v>7.9000000000000008E-3</v>
      </c>
      <c r="D170">
        <v>0</v>
      </c>
      <c r="E170">
        <v>5590000</v>
      </c>
      <c r="F170" t="s">
        <v>2066</v>
      </c>
      <c r="G170">
        <v>5090000</v>
      </c>
      <c r="H170" t="s">
        <v>2068</v>
      </c>
      <c r="I170">
        <v>704060000</v>
      </c>
      <c r="J170" t="s">
        <v>1101</v>
      </c>
      <c r="K170">
        <f>Cleaned_data[[#This Row],[Volume (24h) USD $]]/Cleaned_data[[#This Row],[Curculating Supply $]]</f>
        <v>7.2294974860097148E-3</v>
      </c>
      <c r="L170">
        <f>RANK(Cleaned_data[[#This Row],[Market Cap $]],Cleaned_data[Market Cap $],0)</f>
        <v>168</v>
      </c>
      <c r="M170" t="str">
        <f t="shared" si="2"/>
        <v>0-0.5</v>
      </c>
    </row>
    <row r="171" spans="1:13" x14ac:dyDescent="0.3">
      <c r="A171" t="s">
        <v>1102</v>
      </c>
      <c r="B171" t="s">
        <v>1102</v>
      </c>
      <c r="C171">
        <v>0</v>
      </c>
      <c r="D171">
        <v>2E-3</v>
      </c>
      <c r="E171">
        <v>5570000</v>
      </c>
      <c r="F171" t="s">
        <v>2069</v>
      </c>
      <c r="G171">
        <v>189850</v>
      </c>
      <c r="H171" t="s">
        <v>2070</v>
      </c>
      <c r="I171">
        <v>411670000000</v>
      </c>
      <c r="J171" t="s">
        <v>1106</v>
      </c>
      <c r="K171">
        <f>Cleaned_data[[#This Row],[Volume (24h) USD $]]/Cleaned_data[[#This Row],[Curculating Supply $]]</f>
        <v>4.6117035489591178E-7</v>
      </c>
      <c r="L171">
        <f>RANK(Cleaned_data[[#This Row],[Market Cap $]],Cleaned_data[Market Cap $],0)</f>
        <v>170</v>
      </c>
      <c r="M171" t="str">
        <f t="shared" si="2"/>
        <v>0-0.5</v>
      </c>
    </row>
    <row r="172" spans="1:13" x14ac:dyDescent="0.3">
      <c r="A172" t="s">
        <v>1107</v>
      </c>
      <c r="B172" t="s">
        <v>1108</v>
      </c>
      <c r="C172">
        <v>5.5999999999999999E-3</v>
      </c>
      <c r="D172">
        <v>2.5000000000000001E-3</v>
      </c>
      <c r="E172">
        <v>5570000</v>
      </c>
      <c r="F172" t="s">
        <v>2069</v>
      </c>
      <c r="G172">
        <v>115.13</v>
      </c>
      <c r="H172" t="s">
        <v>2071</v>
      </c>
      <c r="I172">
        <v>1000000000</v>
      </c>
      <c r="J172" t="s">
        <v>482</v>
      </c>
      <c r="K172">
        <f>Cleaned_data[[#This Row],[Volume (24h) USD $]]/Cleaned_data[[#This Row],[Curculating Supply $]]</f>
        <v>1.1513E-7</v>
      </c>
      <c r="L172">
        <f>RANK(Cleaned_data[[#This Row],[Market Cap $]],Cleaned_data[Market Cap $],0)</f>
        <v>170</v>
      </c>
      <c r="M172" t="str">
        <f t="shared" si="2"/>
        <v>0-0.5</v>
      </c>
    </row>
    <row r="173" spans="1:13" x14ac:dyDescent="0.3">
      <c r="A173" t="s">
        <v>1111</v>
      </c>
      <c r="B173" t="s">
        <v>1112</v>
      </c>
      <c r="C173">
        <v>5.4999999999999997E-3</v>
      </c>
      <c r="D173">
        <v>9.1000000000000004E-3</v>
      </c>
      <c r="E173">
        <v>4400000</v>
      </c>
      <c r="F173" t="s">
        <v>2072</v>
      </c>
      <c r="G173">
        <v>658730</v>
      </c>
      <c r="H173" t="s">
        <v>2073</v>
      </c>
      <c r="I173">
        <v>800700000</v>
      </c>
      <c r="J173" t="s">
        <v>1117</v>
      </c>
      <c r="K173">
        <f>Cleaned_data[[#This Row],[Volume (24h) USD $]]/Cleaned_data[[#This Row],[Curculating Supply $]]</f>
        <v>8.2269264393655553E-4</v>
      </c>
      <c r="L173">
        <f>RANK(Cleaned_data[[#This Row],[Market Cap $]],Cleaned_data[Market Cap $],0)</f>
        <v>172</v>
      </c>
      <c r="M173" t="str">
        <f t="shared" si="2"/>
        <v>0-0.5</v>
      </c>
    </row>
    <row r="174" spans="1:13" x14ac:dyDescent="0.3">
      <c r="A174" t="s">
        <v>1118</v>
      </c>
      <c r="B174" t="s">
        <v>1119</v>
      </c>
      <c r="C174">
        <v>5.4899999999999997E-2</v>
      </c>
      <c r="D174">
        <v>1.29E-2</v>
      </c>
      <c r="E174">
        <v>4390000</v>
      </c>
      <c r="F174" t="s">
        <v>2074</v>
      </c>
      <c r="G174">
        <v>174450</v>
      </c>
      <c r="H174" t="s">
        <v>2075</v>
      </c>
      <c r="I174">
        <v>902150000000</v>
      </c>
      <c r="J174" t="s">
        <v>1124</v>
      </c>
      <c r="K174">
        <f>Cleaned_data[[#This Row],[Volume (24h) USD $]]/Cleaned_data[[#This Row],[Curculating Supply $]]</f>
        <v>1.9337139056697887E-7</v>
      </c>
      <c r="L174">
        <f>RANK(Cleaned_data[[#This Row],[Market Cap $]],Cleaned_data[Market Cap $],0)</f>
        <v>173</v>
      </c>
      <c r="M174" t="str">
        <f t="shared" si="2"/>
        <v>0-0.5</v>
      </c>
    </row>
    <row r="175" spans="1:13" x14ac:dyDescent="0.3">
      <c r="A175" t="s">
        <v>1125</v>
      </c>
      <c r="B175" t="s">
        <v>1126</v>
      </c>
      <c r="C175">
        <v>3.44E-2</v>
      </c>
      <c r="D175">
        <v>2.0999999999999999E-3</v>
      </c>
      <c r="E175">
        <v>4370000</v>
      </c>
      <c r="F175" t="s">
        <v>2076</v>
      </c>
      <c r="G175">
        <v>3000000</v>
      </c>
      <c r="H175" t="s">
        <v>1983</v>
      </c>
      <c r="I175">
        <v>127500000</v>
      </c>
      <c r="J175" t="s">
        <v>1129</v>
      </c>
      <c r="K175">
        <f>Cleaned_data[[#This Row],[Volume (24h) USD $]]/Cleaned_data[[#This Row],[Curculating Supply $]]</f>
        <v>2.3529411764705882E-2</v>
      </c>
      <c r="L175">
        <f>RANK(Cleaned_data[[#This Row],[Market Cap $]],Cleaned_data[Market Cap $],0)</f>
        <v>174</v>
      </c>
      <c r="M175" t="str">
        <f t="shared" si="2"/>
        <v>0-0.5</v>
      </c>
    </row>
    <row r="176" spans="1:13" x14ac:dyDescent="0.3">
      <c r="A176" t="s">
        <v>1130</v>
      </c>
      <c r="B176" t="s">
        <v>1131</v>
      </c>
      <c r="C176">
        <v>4.4999999999999997E-3</v>
      </c>
      <c r="D176">
        <v>1.9599999999999999E-2</v>
      </c>
      <c r="E176">
        <v>4360000</v>
      </c>
      <c r="F176" t="s">
        <v>2077</v>
      </c>
      <c r="G176">
        <v>35620</v>
      </c>
      <c r="H176" t="s">
        <v>2078</v>
      </c>
      <c r="I176">
        <v>978910000</v>
      </c>
      <c r="J176" t="s">
        <v>1136</v>
      </c>
      <c r="K176">
        <f>Cleaned_data[[#This Row],[Volume (24h) USD $]]/Cleaned_data[[#This Row],[Curculating Supply $]]</f>
        <v>3.6387410487174514E-5</v>
      </c>
      <c r="L176">
        <f>RANK(Cleaned_data[[#This Row],[Market Cap $]],Cleaned_data[Market Cap $],0)</f>
        <v>175</v>
      </c>
      <c r="M176" t="str">
        <f t="shared" si="2"/>
        <v>0-0.5</v>
      </c>
    </row>
    <row r="177" spans="1:13" x14ac:dyDescent="0.3">
      <c r="A177" t="s">
        <v>1142</v>
      </c>
      <c r="B177" t="s">
        <v>1143</v>
      </c>
      <c r="C177">
        <v>8.8999999999999999E-3</v>
      </c>
      <c r="D177">
        <v>1.2999999999999999E-3</v>
      </c>
      <c r="E177">
        <v>4310000</v>
      </c>
      <c r="F177" t="s">
        <v>2079</v>
      </c>
      <c r="G177">
        <v>160250</v>
      </c>
      <c r="H177" t="s">
        <v>2080</v>
      </c>
      <c r="I177">
        <v>486200000</v>
      </c>
      <c r="J177" t="s">
        <v>1148</v>
      </c>
      <c r="K177">
        <f>Cleaned_data[[#This Row],[Volume (24h) USD $]]/Cleaned_data[[#This Row],[Curculating Supply $]]</f>
        <v>3.295968737145208E-4</v>
      </c>
      <c r="L177">
        <f>RANK(Cleaned_data[[#This Row],[Market Cap $]],Cleaned_data[Market Cap $],0)</f>
        <v>176</v>
      </c>
      <c r="M177" t="str">
        <f t="shared" si="2"/>
        <v>0-0.5</v>
      </c>
    </row>
    <row r="178" spans="1:13" x14ac:dyDescent="0.3">
      <c r="A178" t="s">
        <v>1149</v>
      </c>
      <c r="B178" t="s">
        <v>1150</v>
      </c>
      <c r="C178">
        <v>5.0000000000000001E-4</v>
      </c>
      <c r="D178">
        <v>1.6400000000000001E-2</v>
      </c>
      <c r="E178">
        <v>4240000</v>
      </c>
      <c r="F178" t="s">
        <v>2081</v>
      </c>
      <c r="G178">
        <v>118440</v>
      </c>
      <c r="H178" t="s">
        <v>2082</v>
      </c>
      <c r="I178">
        <v>8990000000</v>
      </c>
      <c r="J178" t="s">
        <v>1155</v>
      </c>
      <c r="K178">
        <f>Cleaned_data[[#This Row],[Volume (24h) USD $]]/Cleaned_data[[#This Row],[Curculating Supply $]]</f>
        <v>1.317463848720801E-5</v>
      </c>
      <c r="L178">
        <f>RANK(Cleaned_data[[#This Row],[Market Cap $]],Cleaned_data[Market Cap $],0)</f>
        <v>183</v>
      </c>
      <c r="M178" t="str">
        <f t="shared" si="2"/>
        <v>0-0.5</v>
      </c>
    </row>
    <row r="179" spans="1:13" x14ac:dyDescent="0.3">
      <c r="A179" t="s">
        <v>1156</v>
      </c>
      <c r="B179" t="s">
        <v>1157</v>
      </c>
      <c r="C179">
        <v>1.6299999999999999E-2</v>
      </c>
      <c r="D179">
        <v>1.6999999999999999E-3</v>
      </c>
      <c r="E179">
        <v>4300000</v>
      </c>
      <c r="F179" t="s">
        <v>2083</v>
      </c>
      <c r="G179">
        <v>784690</v>
      </c>
      <c r="H179" t="s">
        <v>2084</v>
      </c>
      <c r="I179">
        <v>264500000</v>
      </c>
      <c r="J179" t="s">
        <v>1161</v>
      </c>
      <c r="K179">
        <f>Cleaned_data[[#This Row],[Volume (24h) USD $]]/Cleaned_data[[#This Row],[Curculating Supply $]]</f>
        <v>2.9666918714555766E-3</v>
      </c>
      <c r="L179">
        <f>RANK(Cleaned_data[[#This Row],[Market Cap $]],Cleaned_data[Market Cap $],0)</f>
        <v>177</v>
      </c>
      <c r="M179" t="str">
        <f t="shared" si="2"/>
        <v>0-0.5</v>
      </c>
    </row>
    <row r="180" spans="1:13" x14ac:dyDescent="0.3">
      <c r="A180" t="s">
        <v>1167</v>
      </c>
      <c r="B180" t="s">
        <v>1168</v>
      </c>
      <c r="C180">
        <v>1.5E-3</v>
      </c>
      <c r="D180">
        <v>2.0000000000000001E-4</v>
      </c>
      <c r="E180">
        <v>4270000</v>
      </c>
      <c r="F180" t="s">
        <v>2085</v>
      </c>
      <c r="G180">
        <v>23.94</v>
      </c>
      <c r="H180" t="s">
        <v>2086</v>
      </c>
      <c r="I180">
        <v>2770000000</v>
      </c>
      <c r="J180" t="s">
        <v>1172</v>
      </c>
      <c r="K180">
        <f>Cleaned_data[[#This Row],[Volume (24h) USD $]]/Cleaned_data[[#This Row],[Curculating Supply $]]</f>
        <v>8.6425992779783392E-9</v>
      </c>
      <c r="L180">
        <f>RANK(Cleaned_data[[#This Row],[Market Cap $]],Cleaned_data[Market Cap $],0)</f>
        <v>178</v>
      </c>
      <c r="M180" t="str">
        <f t="shared" si="2"/>
        <v>0-0.5</v>
      </c>
    </row>
    <row r="181" spans="1:13" x14ac:dyDescent="0.3">
      <c r="A181" t="s">
        <v>1173</v>
      </c>
      <c r="B181" t="s">
        <v>1174</v>
      </c>
      <c r="C181">
        <v>5.5999999999999999E-3</v>
      </c>
      <c r="D181">
        <v>1.4E-3</v>
      </c>
      <c r="E181">
        <v>4270000</v>
      </c>
      <c r="F181" t="s">
        <v>2085</v>
      </c>
      <c r="G181">
        <v>817570</v>
      </c>
      <c r="H181" t="s">
        <v>2087</v>
      </c>
      <c r="I181">
        <v>764320000</v>
      </c>
      <c r="J181" t="s">
        <v>1177</v>
      </c>
      <c r="K181">
        <f>Cleaned_data[[#This Row],[Volume (24h) USD $]]/Cleaned_data[[#This Row],[Curculating Supply $]]</f>
        <v>1.06966977182332E-3</v>
      </c>
      <c r="L181">
        <f>RANK(Cleaned_data[[#This Row],[Market Cap $]],Cleaned_data[Market Cap $],0)</f>
        <v>178</v>
      </c>
      <c r="M181" t="str">
        <f t="shared" si="2"/>
        <v>0-0.5</v>
      </c>
    </row>
    <row r="182" spans="1:13" x14ac:dyDescent="0.3">
      <c r="A182" t="s">
        <v>1178</v>
      </c>
      <c r="B182" t="s">
        <v>1179</v>
      </c>
      <c r="C182">
        <v>581.11</v>
      </c>
      <c r="D182">
        <v>1E-3</v>
      </c>
      <c r="E182">
        <v>4270000</v>
      </c>
      <c r="F182" t="s">
        <v>2085</v>
      </c>
      <c r="G182">
        <v>1310000</v>
      </c>
      <c r="H182" t="s">
        <v>2088</v>
      </c>
      <c r="I182">
        <v>7350</v>
      </c>
      <c r="J182" t="s">
        <v>1182</v>
      </c>
      <c r="K182">
        <f>Cleaned_data[[#This Row],[Volume (24h) USD $]]/Cleaned_data[[#This Row],[Curculating Supply $]]</f>
        <v>178.23129251700681</v>
      </c>
      <c r="L182">
        <f>RANK(Cleaned_data[[#This Row],[Market Cap $]],Cleaned_data[Market Cap $],0)</f>
        <v>178</v>
      </c>
      <c r="M182" t="str">
        <f t="shared" si="2"/>
        <v>100-10000</v>
      </c>
    </row>
    <row r="183" spans="1:13" x14ac:dyDescent="0.3">
      <c r="A183" t="s">
        <v>1183</v>
      </c>
      <c r="B183" t="s">
        <v>1184</v>
      </c>
      <c r="C183">
        <v>4.7199999999999999E-2</v>
      </c>
      <c r="D183">
        <v>1.83E-2</v>
      </c>
      <c r="E183">
        <v>4270000</v>
      </c>
      <c r="F183" t="s">
        <v>2085</v>
      </c>
      <c r="G183">
        <v>1010</v>
      </c>
      <c r="H183" t="s">
        <v>2089</v>
      </c>
      <c r="I183">
        <v>90500000</v>
      </c>
      <c r="J183" t="s">
        <v>1187</v>
      </c>
      <c r="K183">
        <f>Cleaned_data[[#This Row],[Volume (24h) USD $]]/Cleaned_data[[#This Row],[Curculating Supply $]]</f>
        <v>1.1160220994475139E-5</v>
      </c>
      <c r="L183">
        <f>RANK(Cleaned_data[[#This Row],[Market Cap $]],Cleaned_data[Market Cap $],0)</f>
        <v>178</v>
      </c>
      <c r="M183" t="str">
        <f t="shared" si="2"/>
        <v>0-0.5</v>
      </c>
    </row>
    <row r="184" spans="1:13" x14ac:dyDescent="0.3">
      <c r="A184" t="s">
        <v>1188</v>
      </c>
      <c r="B184" t="s">
        <v>1189</v>
      </c>
      <c r="C184">
        <v>0.23680000000000001</v>
      </c>
      <c r="D184">
        <v>4.0000000000000002E-4</v>
      </c>
      <c r="E184">
        <v>4260000</v>
      </c>
      <c r="F184" t="s">
        <v>2090</v>
      </c>
      <c r="G184">
        <v>1060000</v>
      </c>
      <c r="H184" t="s">
        <v>2018</v>
      </c>
      <c r="I184">
        <v>18000000</v>
      </c>
      <c r="J184" t="s">
        <v>1192</v>
      </c>
      <c r="K184">
        <f>Cleaned_data[[#This Row],[Volume (24h) USD $]]/Cleaned_data[[#This Row],[Curculating Supply $]]</f>
        <v>5.8888888888888886E-2</v>
      </c>
      <c r="L184">
        <f>RANK(Cleaned_data[[#This Row],[Market Cap $]],Cleaned_data[Market Cap $],0)</f>
        <v>182</v>
      </c>
      <c r="M184" t="str">
        <f t="shared" si="2"/>
        <v>0-0.5</v>
      </c>
    </row>
    <row r="185" spans="1:13" x14ac:dyDescent="0.3">
      <c r="A185" t="s">
        <v>1193</v>
      </c>
      <c r="B185" t="s">
        <v>1194</v>
      </c>
      <c r="C185">
        <v>7.7399999999999997E-2</v>
      </c>
      <c r="D185">
        <v>2.0000000000000001E-4</v>
      </c>
      <c r="E185">
        <v>4240000</v>
      </c>
      <c r="F185" t="s">
        <v>2081</v>
      </c>
      <c r="G185">
        <v>1900</v>
      </c>
      <c r="H185" t="s">
        <v>2091</v>
      </c>
      <c r="I185">
        <v>57270000000000</v>
      </c>
      <c r="J185" t="s">
        <v>1197</v>
      </c>
      <c r="K185">
        <f>Cleaned_data[[#This Row],[Volume (24h) USD $]]/Cleaned_data[[#This Row],[Curculating Supply $]]</f>
        <v>3.3176182992840929E-11</v>
      </c>
      <c r="L185">
        <f>RANK(Cleaned_data[[#This Row],[Market Cap $]],Cleaned_data[Market Cap $],0)</f>
        <v>183</v>
      </c>
      <c r="M185" t="str">
        <f t="shared" si="2"/>
        <v>0-0.5</v>
      </c>
    </row>
    <row r="186" spans="1:13" x14ac:dyDescent="0.3">
      <c r="A186" t="s">
        <v>1198</v>
      </c>
      <c r="B186" t="s">
        <v>1199</v>
      </c>
      <c r="C186">
        <v>1.6000000000000001E-3</v>
      </c>
      <c r="D186">
        <v>3.3099999999999997E-2</v>
      </c>
      <c r="E186">
        <v>3400000</v>
      </c>
      <c r="F186" t="s">
        <v>2092</v>
      </c>
      <c r="G186">
        <v>2520</v>
      </c>
      <c r="H186" t="s">
        <v>2093</v>
      </c>
      <c r="I186">
        <v>2100000000</v>
      </c>
      <c r="J186" t="s">
        <v>1204</v>
      </c>
      <c r="K186">
        <f>Cleaned_data[[#This Row],[Volume (24h) USD $]]/Cleaned_data[[#This Row],[Curculating Supply $]]</f>
        <v>1.1999999999999999E-6</v>
      </c>
      <c r="L186">
        <f>RANK(Cleaned_data[[#This Row],[Market Cap $]],Cleaned_data[Market Cap $],0)</f>
        <v>185</v>
      </c>
      <c r="M186" t="str">
        <f t="shared" si="2"/>
        <v>0-0.5</v>
      </c>
    </row>
    <row r="187" spans="1:13" x14ac:dyDescent="0.3">
      <c r="A187" t="s">
        <v>1205</v>
      </c>
      <c r="B187" t="s">
        <v>1206</v>
      </c>
      <c r="C187">
        <v>1.0999999999999999E-2</v>
      </c>
      <c r="D187">
        <v>5.9999999999999995E-4</v>
      </c>
      <c r="E187">
        <v>3380000</v>
      </c>
      <c r="F187" t="s">
        <v>2094</v>
      </c>
      <c r="G187">
        <v>145850</v>
      </c>
      <c r="H187" t="s">
        <v>2095</v>
      </c>
      <c r="I187">
        <v>307240000</v>
      </c>
      <c r="J187" t="s">
        <v>1210</v>
      </c>
      <c r="K187">
        <f>Cleaned_data[[#This Row],[Volume (24h) USD $]]/Cleaned_data[[#This Row],[Curculating Supply $]]</f>
        <v>4.7471032417653949E-4</v>
      </c>
      <c r="L187">
        <f>RANK(Cleaned_data[[#This Row],[Market Cap $]],Cleaned_data[Market Cap $],0)</f>
        <v>186</v>
      </c>
      <c r="M187" t="str">
        <f t="shared" si="2"/>
        <v>0-0.5</v>
      </c>
    </row>
    <row r="188" spans="1:13" x14ac:dyDescent="0.3">
      <c r="A188" t="s">
        <v>1211</v>
      </c>
      <c r="B188" t="s">
        <v>1212</v>
      </c>
      <c r="C188">
        <v>3.3999999999999998E-3</v>
      </c>
      <c r="D188">
        <v>2.9999999999999997E-4</v>
      </c>
      <c r="E188">
        <v>3360000</v>
      </c>
      <c r="F188" t="s">
        <v>2096</v>
      </c>
      <c r="G188">
        <v>8920</v>
      </c>
      <c r="H188" t="s">
        <v>2097</v>
      </c>
      <c r="I188">
        <v>992870000</v>
      </c>
      <c r="J188" t="s">
        <v>1216</v>
      </c>
      <c r="K188">
        <f>Cleaned_data[[#This Row],[Volume (24h) USD $]]/Cleaned_data[[#This Row],[Curculating Supply $]]</f>
        <v>8.9840563215728149E-6</v>
      </c>
      <c r="L188">
        <f>RANK(Cleaned_data[[#This Row],[Market Cap $]],Cleaned_data[Market Cap $],0)</f>
        <v>187</v>
      </c>
      <c r="M188" t="str">
        <f t="shared" si="2"/>
        <v>0-0.5</v>
      </c>
    </row>
    <row r="189" spans="1:13" x14ac:dyDescent="0.3">
      <c r="A189" t="s">
        <v>1217</v>
      </c>
      <c r="B189" t="s">
        <v>1218</v>
      </c>
      <c r="C189">
        <v>311.89999999999998</v>
      </c>
      <c r="D189">
        <v>8.0000000000000002E-3</v>
      </c>
      <c r="E189">
        <v>3350000</v>
      </c>
      <c r="F189" t="s">
        <v>2098</v>
      </c>
      <c r="G189">
        <v>16160000</v>
      </c>
      <c r="H189" t="s">
        <v>2099</v>
      </c>
      <c r="I189">
        <v>10750</v>
      </c>
      <c r="J189" t="s">
        <v>1222</v>
      </c>
      <c r="K189">
        <f>Cleaned_data[[#This Row],[Volume (24h) USD $]]/Cleaned_data[[#This Row],[Curculating Supply $]]</f>
        <v>1503.2558139534883</v>
      </c>
      <c r="L189">
        <f>RANK(Cleaned_data[[#This Row],[Market Cap $]],Cleaned_data[Market Cap $],0)</f>
        <v>188</v>
      </c>
      <c r="M189" t="str">
        <f t="shared" si="2"/>
        <v>100-10000</v>
      </c>
    </row>
    <row r="190" spans="1:13" x14ac:dyDescent="0.3">
      <c r="A190" t="s">
        <v>1223</v>
      </c>
      <c r="B190" t="s">
        <v>1224</v>
      </c>
      <c r="C190">
        <v>5.5999999999999999E-3</v>
      </c>
      <c r="D190">
        <v>1.2999999999999999E-3</v>
      </c>
      <c r="E190">
        <v>3350000</v>
      </c>
      <c r="F190" t="s">
        <v>2098</v>
      </c>
      <c r="G190">
        <v>120340</v>
      </c>
      <c r="H190" t="s">
        <v>2100</v>
      </c>
      <c r="I190">
        <v>598860000</v>
      </c>
      <c r="J190" t="s">
        <v>1227</v>
      </c>
      <c r="K190">
        <f>Cleaned_data[[#This Row],[Volume (24h) USD $]]/Cleaned_data[[#This Row],[Curculating Supply $]]</f>
        <v>2.0094846875730554E-4</v>
      </c>
      <c r="L190">
        <f>RANK(Cleaned_data[[#This Row],[Market Cap $]],Cleaned_data[Market Cap $],0)</f>
        <v>188</v>
      </c>
      <c r="M190" t="str">
        <f t="shared" si="2"/>
        <v>0-0.5</v>
      </c>
    </row>
    <row r="191" spans="1:13" x14ac:dyDescent="0.3">
      <c r="A191" t="s">
        <v>1228</v>
      </c>
      <c r="B191" t="s">
        <v>1229</v>
      </c>
      <c r="C191">
        <v>59.7</v>
      </c>
      <c r="D191">
        <v>1.8E-3</v>
      </c>
      <c r="E191">
        <v>3340000</v>
      </c>
      <c r="F191" t="s">
        <v>2101</v>
      </c>
      <c r="G191">
        <v>231730</v>
      </c>
      <c r="H191" t="s">
        <v>2102</v>
      </c>
      <c r="I191">
        <v>56030</v>
      </c>
      <c r="J191" t="s">
        <v>1234</v>
      </c>
      <c r="K191">
        <f>Cleaned_data[[#This Row],[Volume (24h) USD $]]/Cleaned_data[[#This Row],[Curculating Supply $]]</f>
        <v>4.1358200963769409</v>
      </c>
      <c r="L191">
        <f>RANK(Cleaned_data[[#This Row],[Market Cap $]],Cleaned_data[Market Cap $],0)</f>
        <v>190</v>
      </c>
      <c r="M191" t="str">
        <f t="shared" si="2"/>
        <v>10-100</v>
      </c>
    </row>
    <row r="192" spans="1:13" x14ac:dyDescent="0.3">
      <c r="A192" t="s">
        <v>1235</v>
      </c>
      <c r="B192" t="s">
        <v>1236</v>
      </c>
      <c r="C192">
        <v>5.1000000000000004E-3</v>
      </c>
      <c r="D192">
        <v>1.0200000000000001E-2</v>
      </c>
      <c r="E192">
        <v>3340000</v>
      </c>
      <c r="F192" t="s">
        <v>2101</v>
      </c>
      <c r="G192">
        <v>242530</v>
      </c>
      <c r="H192" t="s">
        <v>2103</v>
      </c>
      <c r="I192">
        <v>649960000</v>
      </c>
      <c r="J192" t="s">
        <v>1240</v>
      </c>
      <c r="K192">
        <f>Cleaned_data[[#This Row],[Volume (24h) USD $]]/Cleaned_data[[#This Row],[Curculating Supply $]]</f>
        <v>3.7314603975629269E-4</v>
      </c>
      <c r="L192">
        <f>RANK(Cleaned_data[[#This Row],[Market Cap $]],Cleaned_data[Market Cap $],0)</f>
        <v>190</v>
      </c>
      <c r="M192" t="str">
        <f t="shared" si="2"/>
        <v>0-0.5</v>
      </c>
    </row>
    <row r="193" spans="1:13" x14ac:dyDescent="0.3">
      <c r="A193" t="s">
        <v>1241</v>
      </c>
      <c r="B193" t="s">
        <v>1242</v>
      </c>
      <c r="C193">
        <v>0.01</v>
      </c>
      <c r="D193">
        <v>8.9999999999999998E-4</v>
      </c>
      <c r="E193">
        <v>3330000</v>
      </c>
      <c r="F193" t="s">
        <v>2104</v>
      </c>
      <c r="G193">
        <v>8070</v>
      </c>
      <c r="H193" t="s">
        <v>2105</v>
      </c>
      <c r="I193">
        <v>331780000</v>
      </c>
      <c r="J193" t="s">
        <v>1246</v>
      </c>
      <c r="K193">
        <f>Cleaned_data[[#This Row],[Volume (24h) USD $]]/Cleaned_data[[#This Row],[Curculating Supply $]]</f>
        <v>2.4323346796069686E-5</v>
      </c>
      <c r="L193">
        <f>RANK(Cleaned_data[[#This Row],[Market Cap $]],Cleaned_data[Market Cap $],0)</f>
        <v>192</v>
      </c>
      <c r="M193" t="str">
        <f t="shared" si="2"/>
        <v>0-0.5</v>
      </c>
    </row>
    <row r="194" spans="1:13" x14ac:dyDescent="0.3">
      <c r="A194" t="s">
        <v>1247</v>
      </c>
      <c r="B194" t="s">
        <v>1248</v>
      </c>
      <c r="C194">
        <v>0.23039999999999999</v>
      </c>
      <c r="D194">
        <v>5.0000000000000001E-4</v>
      </c>
      <c r="E194">
        <v>3330000</v>
      </c>
      <c r="F194" t="s">
        <v>2104</v>
      </c>
      <c r="G194">
        <v>3970</v>
      </c>
      <c r="H194" t="s">
        <v>2106</v>
      </c>
      <c r="I194">
        <v>14440000</v>
      </c>
      <c r="J194" t="s">
        <v>1251</v>
      </c>
      <c r="K194">
        <f>Cleaned_data[[#This Row],[Volume (24h) USD $]]/Cleaned_data[[#This Row],[Curculating Supply $]]</f>
        <v>2.7493074792243769E-4</v>
      </c>
      <c r="L194">
        <f>RANK(Cleaned_data[[#This Row],[Market Cap $]],Cleaned_data[Market Cap $],0)</f>
        <v>192</v>
      </c>
      <c r="M194" t="str">
        <f t="shared" ref="M194:M257" si="3">IF(C194&lt;=0.5,"0-0.5",
IF(C194&lt;=1,"0.5-1",
IF(C194&lt;=2,"1-2",
IF(C194&lt;=10,"2-10",
IF(C194&lt;=100,"10-100",
IF(C194&lt;=10000,"100-10000",
"10000+"))))))</f>
        <v>0-0.5</v>
      </c>
    </row>
    <row r="195" spans="1:13" x14ac:dyDescent="0.3">
      <c r="A195" t="s">
        <v>1252</v>
      </c>
      <c r="B195" t="s">
        <v>1253</v>
      </c>
      <c r="C195">
        <v>0.1653</v>
      </c>
      <c r="D195">
        <v>4.5999999999999999E-3</v>
      </c>
      <c r="E195">
        <v>3320000</v>
      </c>
      <c r="F195" t="s">
        <v>2107</v>
      </c>
      <c r="G195">
        <v>27640</v>
      </c>
      <c r="H195" t="s">
        <v>2108</v>
      </c>
      <c r="I195">
        <v>20140000</v>
      </c>
      <c r="J195" t="s">
        <v>1257</v>
      </c>
      <c r="K195">
        <f>Cleaned_data[[#This Row],[Volume (24h) USD $]]/Cleaned_data[[#This Row],[Curculating Supply $]]</f>
        <v>1.3723932472691162E-3</v>
      </c>
      <c r="L195">
        <f>RANK(Cleaned_data[[#This Row],[Market Cap $]],Cleaned_data[Market Cap $],0)</f>
        <v>194</v>
      </c>
      <c r="M195" t="str">
        <f t="shared" si="3"/>
        <v>0-0.5</v>
      </c>
    </row>
    <row r="196" spans="1:13" x14ac:dyDescent="0.3">
      <c r="A196" t="s">
        <v>1258</v>
      </c>
      <c r="B196" t="s">
        <v>1259</v>
      </c>
      <c r="C196">
        <v>1.2999999999999999E-3</v>
      </c>
      <c r="D196">
        <v>3.2000000000000002E-3</v>
      </c>
      <c r="E196">
        <v>3310000</v>
      </c>
      <c r="F196" t="s">
        <v>2109</v>
      </c>
      <c r="G196">
        <v>176180</v>
      </c>
      <c r="H196" t="s">
        <v>2110</v>
      </c>
      <c r="I196">
        <v>2650000000</v>
      </c>
      <c r="J196" t="s">
        <v>1264</v>
      </c>
      <c r="K196">
        <f>Cleaned_data[[#This Row],[Volume (24h) USD $]]/Cleaned_data[[#This Row],[Curculating Supply $]]</f>
        <v>6.6483018867924523E-5</v>
      </c>
      <c r="L196">
        <f>RANK(Cleaned_data[[#This Row],[Market Cap $]],Cleaned_data[Market Cap $],0)</f>
        <v>196</v>
      </c>
      <c r="M196" t="str">
        <f t="shared" si="3"/>
        <v>0-0.5</v>
      </c>
    </row>
    <row r="197" spans="1:13" x14ac:dyDescent="0.3">
      <c r="A197" t="s">
        <v>1265</v>
      </c>
      <c r="B197" t="s">
        <v>1266</v>
      </c>
      <c r="C197">
        <v>8.0000000000000004E-4</v>
      </c>
      <c r="D197">
        <v>5.7999999999999996E-3</v>
      </c>
      <c r="E197">
        <v>3310000</v>
      </c>
      <c r="F197" t="s">
        <v>2109</v>
      </c>
      <c r="G197">
        <v>239.95</v>
      </c>
      <c r="H197" t="s">
        <v>2111</v>
      </c>
      <c r="I197">
        <v>4190000000.0000005</v>
      </c>
      <c r="J197" t="s">
        <v>1269</v>
      </c>
      <c r="K197">
        <f>Cleaned_data[[#This Row],[Volume (24h) USD $]]/Cleaned_data[[#This Row],[Curculating Supply $]]</f>
        <v>5.7267303102625288E-8</v>
      </c>
      <c r="L197">
        <f>RANK(Cleaned_data[[#This Row],[Market Cap $]],Cleaned_data[Market Cap $],0)</f>
        <v>196</v>
      </c>
      <c r="M197" t="str">
        <f t="shared" si="3"/>
        <v>0-0.5</v>
      </c>
    </row>
    <row r="198" spans="1:13" x14ac:dyDescent="0.3">
      <c r="A198" t="s">
        <v>1270</v>
      </c>
      <c r="B198" t="s">
        <v>1271</v>
      </c>
      <c r="C198">
        <v>3.32E-2</v>
      </c>
      <c r="D198">
        <v>3.5999999999999999E-3</v>
      </c>
      <c r="E198">
        <v>3320000</v>
      </c>
      <c r="F198" t="s">
        <v>2107</v>
      </c>
      <c r="G198">
        <v>37100</v>
      </c>
      <c r="H198" t="s">
        <v>2112</v>
      </c>
      <c r="I198">
        <v>99990000</v>
      </c>
      <c r="J198" t="s">
        <v>1274</v>
      </c>
      <c r="K198">
        <f>Cleaned_data[[#This Row],[Volume (24h) USD $]]/Cleaned_data[[#This Row],[Curculating Supply $]]</f>
        <v>3.7103710371037103E-4</v>
      </c>
      <c r="L198">
        <f>RANK(Cleaned_data[[#This Row],[Market Cap $]],Cleaned_data[Market Cap $],0)</f>
        <v>194</v>
      </c>
      <c r="M198" t="str">
        <f t="shared" si="3"/>
        <v>0-0.5</v>
      </c>
    </row>
    <row r="199" spans="1:13" x14ac:dyDescent="0.3">
      <c r="A199" t="s">
        <v>1275</v>
      </c>
      <c r="B199" t="s">
        <v>1276</v>
      </c>
      <c r="C199">
        <v>3.3E-3</v>
      </c>
      <c r="D199">
        <v>4.1000000000000003E-3</v>
      </c>
      <c r="E199">
        <v>3290000</v>
      </c>
      <c r="F199" t="s">
        <v>2113</v>
      </c>
      <c r="G199">
        <v>447370</v>
      </c>
      <c r="H199" t="s">
        <v>2114</v>
      </c>
      <c r="I199">
        <v>1000000000</v>
      </c>
      <c r="J199" t="s">
        <v>482</v>
      </c>
      <c r="K199">
        <f>Cleaned_data[[#This Row],[Volume (24h) USD $]]/Cleaned_data[[#This Row],[Curculating Supply $]]</f>
        <v>4.4736999999999999E-4</v>
      </c>
      <c r="L199">
        <f>RANK(Cleaned_data[[#This Row],[Market Cap $]],Cleaned_data[Market Cap $],0)</f>
        <v>198</v>
      </c>
      <c r="M199" t="str">
        <f t="shared" si="3"/>
        <v>0-0.5</v>
      </c>
    </row>
    <row r="200" spans="1:13" x14ac:dyDescent="0.3">
      <c r="A200" t="s">
        <v>1280</v>
      </c>
      <c r="B200" t="s">
        <v>1281</v>
      </c>
      <c r="C200">
        <v>9.7000000000000003E-3</v>
      </c>
      <c r="D200">
        <v>6.9999999999999999E-4</v>
      </c>
      <c r="E200">
        <v>3290000</v>
      </c>
      <c r="F200" t="s">
        <v>2113</v>
      </c>
      <c r="G200">
        <v>103070</v>
      </c>
      <c r="H200" t="s">
        <v>2115</v>
      </c>
      <c r="I200">
        <v>339060000</v>
      </c>
      <c r="J200" t="s">
        <v>1284</v>
      </c>
      <c r="K200">
        <f>Cleaned_data[[#This Row],[Volume (24h) USD $]]/Cleaned_data[[#This Row],[Curculating Supply $]]</f>
        <v>3.0398749483867164E-4</v>
      </c>
      <c r="L200">
        <f>RANK(Cleaned_data[[#This Row],[Market Cap $]],Cleaned_data[Market Cap $],0)</f>
        <v>198</v>
      </c>
      <c r="M200" t="str">
        <f t="shared" si="3"/>
        <v>0-0.5</v>
      </c>
    </row>
    <row r="201" spans="1:13" x14ac:dyDescent="0.3">
      <c r="A201" t="s">
        <v>1285</v>
      </c>
      <c r="B201" t="s">
        <v>1286</v>
      </c>
      <c r="C201">
        <v>505.12</v>
      </c>
      <c r="D201">
        <v>4.0000000000000002E-4</v>
      </c>
      <c r="E201">
        <v>2640000</v>
      </c>
      <c r="F201" t="s">
        <v>2116</v>
      </c>
      <c r="G201">
        <v>16670</v>
      </c>
      <c r="H201" t="s">
        <v>2117</v>
      </c>
      <c r="I201">
        <v>5240</v>
      </c>
      <c r="J201" t="s">
        <v>1290</v>
      </c>
      <c r="K201">
        <f>Cleaned_data[[#This Row],[Volume (24h) USD $]]/Cleaned_data[[#This Row],[Curculating Supply $]]</f>
        <v>3.1812977099236641</v>
      </c>
      <c r="L201">
        <f>RANK(Cleaned_data[[#This Row],[Market Cap $]],Cleaned_data[Market Cap $],0)</f>
        <v>200</v>
      </c>
      <c r="M201" t="str">
        <f t="shared" si="3"/>
        <v>100-10000</v>
      </c>
    </row>
    <row r="202" spans="1:13" x14ac:dyDescent="0.3">
      <c r="A202" t="s">
        <v>1291</v>
      </c>
      <c r="B202" t="s">
        <v>1292</v>
      </c>
      <c r="C202">
        <v>167.91</v>
      </c>
      <c r="D202">
        <v>1.09E-2</v>
      </c>
      <c r="E202">
        <v>2620000</v>
      </c>
      <c r="F202" t="s">
        <v>2118</v>
      </c>
      <c r="G202">
        <v>1380000</v>
      </c>
      <c r="H202" t="s">
        <v>2119</v>
      </c>
      <c r="I202">
        <v>15640</v>
      </c>
      <c r="J202" t="s">
        <v>1297</v>
      </c>
      <c r="K202">
        <f>Cleaned_data[[#This Row],[Volume (24h) USD $]]/Cleaned_data[[#This Row],[Curculating Supply $]]</f>
        <v>88.235294117647058</v>
      </c>
      <c r="L202">
        <f>RANK(Cleaned_data[[#This Row],[Market Cap $]],Cleaned_data[Market Cap $],0)</f>
        <v>201</v>
      </c>
      <c r="M202" t="str">
        <f t="shared" si="3"/>
        <v>100-10000</v>
      </c>
    </row>
    <row r="203" spans="1:13" x14ac:dyDescent="0.3">
      <c r="A203" t="s">
        <v>1298</v>
      </c>
      <c r="B203" t="s">
        <v>1299</v>
      </c>
      <c r="C203">
        <v>196.21</v>
      </c>
      <c r="D203">
        <v>1.8E-3</v>
      </c>
      <c r="E203">
        <v>2610000</v>
      </c>
      <c r="F203" t="s">
        <v>1875</v>
      </c>
      <c r="G203">
        <v>1520000</v>
      </c>
      <c r="H203" t="s">
        <v>1763</v>
      </c>
      <c r="I203">
        <v>13350</v>
      </c>
      <c r="J203" t="s">
        <v>1301</v>
      </c>
      <c r="K203">
        <f>Cleaned_data[[#This Row],[Volume (24h) USD $]]/Cleaned_data[[#This Row],[Curculating Supply $]]</f>
        <v>113.85767790262172</v>
      </c>
      <c r="L203">
        <f>RANK(Cleaned_data[[#This Row],[Market Cap $]],Cleaned_data[Market Cap $],0)</f>
        <v>202</v>
      </c>
      <c r="M203" t="str">
        <f t="shared" si="3"/>
        <v>100-10000</v>
      </c>
    </row>
    <row r="204" spans="1:13" x14ac:dyDescent="0.3">
      <c r="A204" t="s">
        <v>1302</v>
      </c>
      <c r="B204" t="s">
        <v>1303</v>
      </c>
      <c r="C204">
        <v>55.54</v>
      </c>
      <c r="D204">
        <v>9.1999999999999998E-3</v>
      </c>
      <c r="E204">
        <v>2610000</v>
      </c>
      <c r="F204" t="s">
        <v>1875</v>
      </c>
      <c r="G204">
        <v>721800</v>
      </c>
      <c r="H204" t="s">
        <v>2120</v>
      </c>
      <c r="I204">
        <v>47140</v>
      </c>
      <c r="J204" t="s">
        <v>1307</v>
      </c>
      <c r="K204">
        <f>Cleaned_data[[#This Row],[Volume (24h) USD $]]/Cleaned_data[[#This Row],[Curculating Supply $]]</f>
        <v>15.311837081035215</v>
      </c>
      <c r="L204">
        <f>RANK(Cleaned_data[[#This Row],[Market Cap $]],Cleaned_data[Market Cap $],0)</f>
        <v>202</v>
      </c>
      <c r="M204" t="str">
        <f t="shared" si="3"/>
        <v>10-100</v>
      </c>
    </row>
    <row r="205" spans="1:13" x14ac:dyDescent="0.3">
      <c r="A205" t="s">
        <v>1308</v>
      </c>
      <c r="B205" t="s">
        <v>1309</v>
      </c>
      <c r="C205">
        <v>1.34E-2</v>
      </c>
      <c r="D205">
        <v>1.1000000000000001E-3</v>
      </c>
      <c r="E205">
        <v>2610000</v>
      </c>
      <c r="F205" t="s">
        <v>1875</v>
      </c>
      <c r="G205">
        <v>1010</v>
      </c>
      <c r="H205" t="s">
        <v>2089</v>
      </c>
      <c r="I205">
        <v>195420000</v>
      </c>
      <c r="J205" t="s">
        <v>1311</v>
      </c>
      <c r="K205">
        <f>Cleaned_data[[#This Row],[Volume (24h) USD $]]/Cleaned_data[[#This Row],[Curculating Supply $]]</f>
        <v>5.1683553372223932E-6</v>
      </c>
      <c r="L205">
        <f>RANK(Cleaned_data[[#This Row],[Market Cap $]],Cleaned_data[Market Cap $],0)</f>
        <v>202</v>
      </c>
      <c r="M205" t="str">
        <f t="shared" si="3"/>
        <v>0-0.5</v>
      </c>
    </row>
    <row r="206" spans="1:13" x14ac:dyDescent="0.3">
      <c r="A206" t="s">
        <v>1312</v>
      </c>
      <c r="B206" t="s">
        <v>1313</v>
      </c>
      <c r="C206">
        <v>2.5999999999999999E-3</v>
      </c>
      <c r="D206">
        <v>3.9100000000000003E-2</v>
      </c>
      <c r="E206">
        <v>2610000</v>
      </c>
      <c r="F206" t="s">
        <v>1875</v>
      </c>
      <c r="G206">
        <v>134020</v>
      </c>
      <c r="H206" t="s">
        <v>2121</v>
      </c>
      <c r="I206">
        <v>999990000</v>
      </c>
      <c r="J206" t="s">
        <v>346</v>
      </c>
      <c r="K206">
        <f>Cleaned_data[[#This Row],[Volume (24h) USD $]]/Cleaned_data[[#This Row],[Curculating Supply $]]</f>
        <v>1.3402134021340214E-4</v>
      </c>
      <c r="L206">
        <f>RANK(Cleaned_data[[#This Row],[Market Cap $]],Cleaned_data[Market Cap $],0)</f>
        <v>202</v>
      </c>
      <c r="M206" t="str">
        <f t="shared" si="3"/>
        <v>0-0.5</v>
      </c>
    </row>
    <row r="207" spans="1:13" x14ac:dyDescent="0.3">
      <c r="A207" t="s">
        <v>1317</v>
      </c>
      <c r="B207" t="s">
        <v>1318</v>
      </c>
      <c r="C207">
        <v>2.24E-2</v>
      </c>
      <c r="D207">
        <v>5.4000000000000003E-3</v>
      </c>
      <c r="E207">
        <v>2610000</v>
      </c>
      <c r="F207" t="s">
        <v>1875</v>
      </c>
      <c r="G207">
        <v>187550</v>
      </c>
      <c r="H207" t="s">
        <v>2122</v>
      </c>
      <c r="I207">
        <v>117180000</v>
      </c>
      <c r="J207" t="s">
        <v>1321</v>
      </c>
      <c r="K207">
        <f>Cleaned_data[[#This Row],[Volume (24h) USD $]]/Cleaned_data[[#This Row],[Curculating Supply $]]</f>
        <v>1.6005291005291005E-3</v>
      </c>
      <c r="L207">
        <f>RANK(Cleaned_data[[#This Row],[Market Cap $]],Cleaned_data[Market Cap $],0)</f>
        <v>202</v>
      </c>
      <c r="M207" t="str">
        <f t="shared" si="3"/>
        <v>0-0.5</v>
      </c>
    </row>
    <row r="208" spans="1:13" x14ac:dyDescent="0.3">
      <c r="A208" t="s">
        <v>1322</v>
      </c>
      <c r="B208" t="s">
        <v>1323</v>
      </c>
      <c r="C208">
        <v>2.5999999999999999E-3</v>
      </c>
      <c r="D208">
        <v>2.2599999999999999E-2</v>
      </c>
      <c r="E208">
        <v>2600000</v>
      </c>
      <c r="F208" t="s">
        <v>2123</v>
      </c>
      <c r="G208">
        <v>489010</v>
      </c>
      <c r="H208" t="s">
        <v>2124</v>
      </c>
      <c r="I208">
        <v>1000000000</v>
      </c>
      <c r="J208" t="s">
        <v>482</v>
      </c>
      <c r="K208">
        <f>Cleaned_data[[#This Row],[Volume (24h) USD $]]/Cleaned_data[[#This Row],[Curculating Supply $]]</f>
        <v>4.8901000000000001E-4</v>
      </c>
      <c r="L208">
        <f>RANK(Cleaned_data[[#This Row],[Market Cap $]],Cleaned_data[Market Cap $],0)</f>
        <v>207</v>
      </c>
      <c r="M208" t="str">
        <f t="shared" si="3"/>
        <v>0-0.5</v>
      </c>
    </row>
    <row r="209" spans="1:13" x14ac:dyDescent="0.3">
      <c r="A209" t="s">
        <v>1328</v>
      </c>
      <c r="B209" t="s">
        <v>1329</v>
      </c>
      <c r="C209">
        <v>8.8999999999999999E-3</v>
      </c>
      <c r="D209">
        <v>1.1000000000000001E-3</v>
      </c>
      <c r="E209">
        <v>2590000</v>
      </c>
      <c r="F209" t="s">
        <v>2125</v>
      </c>
      <c r="G209">
        <v>26760</v>
      </c>
      <c r="H209" t="s">
        <v>2126</v>
      </c>
      <c r="I209">
        <v>292500000</v>
      </c>
      <c r="J209" t="s">
        <v>1333</v>
      </c>
      <c r="K209">
        <f>Cleaned_data[[#This Row],[Volume (24h) USD $]]/Cleaned_data[[#This Row],[Curculating Supply $]]</f>
        <v>9.1487179487179487E-5</v>
      </c>
      <c r="L209">
        <f>RANK(Cleaned_data[[#This Row],[Market Cap $]],Cleaned_data[Market Cap $],0)</f>
        <v>208</v>
      </c>
      <c r="M209" t="str">
        <f t="shared" si="3"/>
        <v>0-0.5</v>
      </c>
    </row>
    <row r="210" spans="1:13" x14ac:dyDescent="0.3">
      <c r="A210" t="s">
        <v>1334</v>
      </c>
      <c r="B210" t="s">
        <v>1335</v>
      </c>
      <c r="C210">
        <v>0.26050000000000001</v>
      </c>
      <c r="D210">
        <v>8.0000000000000004E-4</v>
      </c>
      <c r="E210">
        <v>2580000</v>
      </c>
      <c r="F210" t="s">
        <v>2127</v>
      </c>
      <c r="G210">
        <v>84790</v>
      </c>
      <c r="H210" t="s">
        <v>2128</v>
      </c>
      <c r="I210">
        <v>9930000</v>
      </c>
      <c r="J210" t="s">
        <v>1339</v>
      </c>
      <c r="K210">
        <f>Cleaned_data[[#This Row],[Volume (24h) USD $]]/Cleaned_data[[#This Row],[Curculating Supply $]]</f>
        <v>8.5387713997985906E-3</v>
      </c>
      <c r="L210">
        <f>RANK(Cleaned_data[[#This Row],[Market Cap $]],Cleaned_data[Market Cap $],0)</f>
        <v>209</v>
      </c>
      <c r="M210" t="str">
        <f t="shared" si="3"/>
        <v>0-0.5</v>
      </c>
    </row>
    <row r="211" spans="1:13" x14ac:dyDescent="0.3">
      <c r="A211" t="s">
        <v>1340</v>
      </c>
      <c r="B211" t="s">
        <v>1340</v>
      </c>
      <c r="C211">
        <v>7.4999999999999997E-3</v>
      </c>
      <c r="D211">
        <v>4.1000000000000003E-3</v>
      </c>
      <c r="E211">
        <v>2580000</v>
      </c>
      <c r="F211" t="s">
        <v>2127</v>
      </c>
      <c r="G211">
        <v>446670</v>
      </c>
      <c r="H211" t="s">
        <v>2129</v>
      </c>
      <c r="I211">
        <v>344850000</v>
      </c>
      <c r="J211" t="s">
        <v>1343</v>
      </c>
      <c r="K211">
        <f>Cleaned_data[[#This Row],[Volume (24h) USD $]]/Cleaned_data[[#This Row],[Curculating Supply $]]</f>
        <v>1.2952588081774684E-3</v>
      </c>
      <c r="L211">
        <f>RANK(Cleaned_data[[#This Row],[Market Cap $]],Cleaned_data[Market Cap $],0)</f>
        <v>209</v>
      </c>
      <c r="M211" t="str">
        <f t="shared" si="3"/>
        <v>0-0.5</v>
      </c>
    </row>
    <row r="212" spans="1:13" x14ac:dyDescent="0.3">
      <c r="A212" t="s">
        <v>1344</v>
      </c>
      <c r="B212" t="s">
        <v>1344</v>
      </c>
      <c r="C212">
        <v>3.3E-3</v>
      </c>
      <c r="D212">
        <v>1.1000000000000001E-3</v>
      </c>
      <c r="E212">
        <v>2580000</v>
      </c>
      <c r="F212" t="s">
        <v>2127</v>
      </c>
      <c r="G212">
        <v>1170</v>
      </c>
      <c r="H212" t="s">
        <v>2130</v>
      </c>
      <c r="I212">
        <v>792550000</v>
      </c>
      <c r="J212" t="s">
        <v>1347</v>
      </c>
      <c r="K212">
        <f>Cleaned_data[[#This Row],[Volume (24h) USD $]]/Cleaned_data[[#This Row],[Curculating Supply $]]</f>
        <v>1.4762475553592834E-6</v>
      </c>
      <c r="L212">
        <f>RANK(Cleaned_data[[#This Row],[Market Cap $]],Cleaned_data[Market Cap $],0)</f>
        <v>209</v>
      </c>
      <c r="M212" t="str">
        <f t="shared" si="3"/>
        <v>0-0.5</v>
      </c>
    </row>
    <row r="213" spans="1:13" x14ac:dyDescent="0.3">
      <c r="A213" t="s">
        <v>1348</v>
      </c>
      <c r="B213" t="s">
        <v>1349</v>
      </c>
      <c r="C213">
        <v>52.43</v>
      </c>
      <c r="D213">
        <v>2.3E-3</v>
      </c>
      <c r="E213">
        <v>2570000</v>
      </c>
      <c r="F213" t="s">
        <v>2131</v>
      </c>
      <c r="G213">
        <v>765650</v>
      </c>
      <c r="H213" t="s">
        <v>2132</v>
      </c>
      <c r="I213">
        <v>49160</v>
      </c>
      <c r="J213" t="s">
        <v>1353</v>
      </c>
      <c r="K213">
        <f>Cleaned_data[[#This Row],[Volume (24h) USD $]]/Cleaned_data[[#This Row],[Curculating Supply $]]</f>
        <v>15.574654190398698</v>
      </c>
      <c r="L213">
        <f>RANK(Cleaned_data[[#This Row],[Market Cap $]],Cleaned_data[Market Cap $],0)</f>
        <v>212</v>
      </c>
      <c r="M213" t="str">
        <f t="shared" si="3"/>
        <v>10-100</v>
      </c>
    </row>
    <row r="214" spans="1:13" x14ac:dyDescent="0.3">
      <c r="A214" t="s">
        <v>1354</v>
      </c>
      <c r="B214" t="s">
        <v>1355</v>
      </c>
      <c r="C214">
        <v>0.2039</v>
      </c>
      <c r="D214">
        <v>6.4999999999999997E-3</v>
      </c>
      <c r="E214">
        <v>2570000</v>
      </c>
      <c r="F214" t="s">
        <v>2131</v>
      </c>
      <c r="G214">
        <v>1390000</v>
      </c>
      <c r="H214" t="s">
        <v>2133</v>
      </c>
      <c r="I214">
        <v>12620000</v>
      </c>
      <c r="J214" t="s">
        <v>1358</v>
      </c>
      <c r="K214">
        <f>Cleaned_data[[#This Row],[Volume (24h) USD $]]/Cleaned_data[[#This Row],[Curculating Supply $]]</f>
        <v>0.11014263074484945</v>
      </c>
      <c r="L214">
        <f>RANK(Cleaned_data[[#This Row],[Market Cap $]],Cleaned_data[Market Cap $],0)</f>
        <v>212</v>
      </c>
      <c r="M214" t="str">
        <f t="shared" si="3"/>
        <v>0-0.5</v>
      </c>
    </row>
    <row r="215" spans="1:13" x14ac:dyDescent="0.3">
      <c r="A215" t="s">
        <v>1359</v>
      </c>
      <c r="B215" t="s">
        <v>1360</v>
      </c>
      <c r="C215">
        <v>549.42999999999995</v>
      </c>
      <c r="D215">
        <v>6.1000000000000004E-3</v>
      </c>
      <c r="E215">
        <v>2570000</v>
      </c>
      <c r="F215" t="s">
        <v>2131</v>
      </c>
      <c r="G215">
        <v>130430</v>
      </c>
      <c r="H215" t="s">
        <v>2134</v>
      </c>
      <c r="I215">
        <v>4680</v>
      </c>
      <c r="J215" t="s">
        <v>1363</v>
      </c>
      <c r="K215">
        <f>Cleaned_data[[#This Row],[Volume (24h) USD $]]/Cleaned_data[[#This Row],[Curculating Supply $]]</f>
        <v>27.869658119658119</v>
      </c>
      <c r="L215">
        <f>RANK(Cleaned_data[[#This Row],[Market Cap $]],Cleaned_data[Market Cap $],0)</f>
        <v>212</v>
      </c>
      <c r="M215" t="str">
        <f t="shared" si="3"/>
        <v>100-10000</v>
      </c>
    </row>
    <row r="216" spans="1:13" x14ac:dyDescent="0.3">
      <c r="A216" t="s">
        <v>1364</v>
      </c>
      <c r="B216" t="s">
        <v>1365</v>
      </c>
      <c r="C216">
        <v>9.9000000000000005E-2</v>
      </c>
      <c r="D216">
        <v>2.5000000000000001E-3</v>
      </c>
      <c r="E216">
        <v>2029999.9999999998</v>
      </c>
      <c r="F216" t="s">
        <v>2135</v>
      </c>
      <c r="G216">
        <v>284190</v>
      </c>
      <c r="H216" t="s">
        <v>2136</v>
      </c>
      <c r="I216">
        <v>20580000</v>
      </c>
      <c r="J216" t="s">
        <v>1369</v>
      </c>
      <c r="K216">
        <f>Cleaned_data[[#This Row],[Volume (24h) USD $]]/Cleaned_data[[#This Row],[Curculating Supply $]]</f>
        <v>1.3809037900874635E-2</v>
      </c>
      <c r="L216">
        <f>RANK(Cleaned_data[[#This Row],[Market Cap $]],Cleaned_data[Market Cap $],0)</f>
        <v>215</v>
      </c>
      <c r="M216" t="str">
        <f t="shared" si="3"/>
        <v>0-0.5</v>
      </c>
    </row>
    <row r="217" spans="1:13" x14ac:dyDescent="0.3">
      <c r="A217" t="s">
        <v>1370</v>
      </c>
      <c r="B217" t="s">
        <v>1371</v>
      </c>
      <c r="C217">
        <v>8.0000000000000004E-4</v>
      </c>
      <c r="D217">
        <v>2.7000000000000001E-3</v>
      </c>
      <c r="E217">
        <v>2029999.9999999998</v>
      </c>
      <c r="F217" t="s">
        <v>2135</v>
      </c>
      <c r="G217">
        <v>75450</v>
      </c>
      <c r="H217" t="s">
        <v>2137</v>
      </c>
      <c r="I217">
        <v>2680000000</v>
      </c>
      <c r="J217" t="s">
        <v>1374</v>
      </c>
      <c r="K217">
        <f>Cleaned_data[[#This Row],[Volume (24h) USD $]]/Cleaned_data[[#This Row],[Curculating Supply $]]</f>
        <v>2.8152985074626864E-5</v>
      </c>
      <c r="L217">
        <f>RANK(Cleaned_data[[#This Row],[Market Cap $]],Cleaned_data[Market Cap $],0)</f>
        <v>215</v>
      </c>
      <c r="M217" t="str">
        <f t="shared" si="3"/>
        <v>0-0.5</v>
      </c>
    </row>
    <row r="218" spans="1:13" x14ac:dyDescent="0.3">
      <c r="A218" t="s">
        <v>1375</v>
      </c>
      <c r="B218" t="s">
        <v>1376</v>
      </c>
      <c r="C218">
        <v>2E-3</v>
      </c>
      <c r="D218">
        <v>8.0000000000000004E-4</v>
      </c>
      <c r="E218">
        <v>2029999.9999999998</v>
      </c>
      <c r="F218" t="s">
        <v>2135</v>
      </c>
      <c r="G218">
        <v>28220</v>
      </c>
      <c r="H218" t="s">
        <v>2138</v>
      </c>
      <c r="I218">
        <v>1000000000</v>
      </c>
      <c r="J218" t="s">
        <v>482</v>
      </c>
      <c r="K218">
        <f>Cleaned_data[[#This Row],[Volume (24h) USD $]]/Cleaned_data[[#This Row],[Curculating Supply $]]</f>
        <v>2.8220000000000001E-5</v>
      </c>
      <c r="L218">
        <f>RANK(Cleaned_data[[#This Row],[Market Cap $]],Cleaned_data[Market Cap $],0)</f>
        <v>215</v>
      </c>
      <c r="M218" t="str">
        <f t="shared" si="3"/>
        <v>0-0.5</v>
      </c>
    </row>
    <row r="219" spans="1:13" x14ac:dyDescent="0.3">
      <c r="A219" t="s">
        <v>1387</v>
      </c>
      <c r="B219" t="s">
        <v>1388</v>
      </c>
      <c r="C219">
        <v>40.76</v>
      </c>
      <c r="D219">
        <v>1.77E-2</v>
      </c>
      <c r="E219">
        <v>2009999.9999999998</v>
      </c>
      <c r="F219" t="s">
        <v>2139</v>
      </c>
      <c r="G219">
        <v>1670000</v>
      </c>
      <c r="H219" t="s">
        <v>2140</v>
      </c>
      <c r="I219">
        <v>49340</v>
      </c>
      <c r="J219" t="s">
        <v>1392</v>
      </c>
      <c r="K219">
        <f>Cleaned_data[[#This Row],[Volume (24h) USD $]]/Cleaned_data[[#This Row],[Curculating Supply $]]</f>
        <v>33.846777462505067</v>
      </c>
      <c r="L219">
        <f>RANK(Cleaned_data[[#This Row],[Market Cap $]],Cleaned_data[Market Cap $],0)</f>
        <v>219</v>
      </c>
      <c r="M219" t="str">
        <f t="shared" si="3"/>
        <v>10-100</v>
      </c>
    </row>
    <row r="220" spans="1:13" x14ac:dyDescent="0.3">
      <c r="A220" t="s">
        <v>1393</v>
      </c>
      <c r="B220" t="s">
        <v>1394</v>
      </c>
      <c r="C220">
        <v>2.9999999999999997E-4</v>
      </c>
      <c r="D220">
        <v>3.85E-2</v>
      </c>
      <c r="E220">
        <v>2020000</v>
      </c>
      <c r="F220" t="s">
        <v>2141</v>
      </c>
      <c r="G220">
        <v>76420</v>
      </c>
      <c r="H220" t="s">
        <v>2142</v>
      </c>
      <c r="I220">
        <v>7800000000</v>
      </c>
      <c r="J220" t="s">
        <v>779</v>
      </c>
      <c r="K220">
        <f>Cleaned_data[[#This Row],[Volume (24h) USD $]]/Cleaned_data[[#This Row],[Curculating Supply $]]</f>
        <v>9.7974358974358981E-6</v>
      </c>
      <c r="L220">
        <f>RANK(Cleaned_data[[#This Row],[Market Cap $]],Cleaned_data[Market Cap $],0)</f>
        <v>218</v>
      </c>
      <c r="M220" t="str">
        <f t="shared" si="3"/>
        <v>0-0.5</v>
      </c>
    </row>
    <row r="221" spans="1:13" x14ac:dyDescent="0.3">
      <c r="A221" t="s">
        <v>1399</v>
      </c>
      <c r="B221" t="s">
        <v>1400</v>
      </c>
      <c r="C221">
        <v>446.18</v>
      </c>
      <c r="D221">
        <v>1E-4</v>
      </c>
      <c r="E221">
        <v>2000000</v>
      </c>
      <c r="F221" t="s">
        <v>1902</v>
      </c>
      <c r="G221">
        <v>323670</v>
      </c>
      <c r="H221" t="s">
        <v>2143</v>
      </c>
      <c r="I221">
        <v>4490</v>
      </c>
      <c r="J221" t="s">
        <v>1403</v>
      </c>
      <c r="K221">
        <f>Cleaned_data[[#This Row],[Volume (24h) USD $]]/Cleaned_data[[#This Row],[Curculating Supply $]]</f>
        <v>72.086859688195986</v>
      </c>
      <c r="L221">
        <f>RANK(Cleaned_data[[#This Row],[Market Cap $]],Cleaned_data[Market Cap $],0)</f>
        <v>220</v>
      </c>
      <c r="M221" t="str">
        <f t="shared" si="3"/>
        <v>100-10000</v>
      </c>
    </row>
    <row r="222" spans="1:13" x14ac:dyDescent="0.3">
      <c r="A222" t="s">
        <v>1404</v>
      </c>
      <c r="B222" t="s">
        <v>1405</v>
      </c>
      <c r="C222">
        <v>194.04</v>
      </c>
      <c r="D222">
        <v>8.5000000000000006E-3</v>
      </c>
      <c r="E222">
        <v>1990000</v>
      </c>
      <c r="F222" t="s">
        <v>1848</v>
      </c>
      <c r="G222">
        <v>133470</v>
      </c>
      <c r="H222" t="s">
        <v>2144</v>
      </c>
      <c r="I222">
        <v>10290</v>
      </c>
      <c r="J222" t="s">
        <v>1409</v>
      </c>
      <c r="K222">
        <f>Cleaned_data[[#This Row],[Volume (24h) USD $]]/Cleaned_data[[#This Row],[Curculating Supply $]]</f>
        <v>12.970845481049563</v>
      </c>
      <c r="L222">
        <f>RANK(Cleaned_data[[#This Row],[Market Cap $]],Cleaned_data[Market Cap $],0)</f>
        <v>221</v>
      </c>
      <c r="M222" t="str">
        <f t="shared" si="3"/>
        <v>100-10000</v>
      </c>
    </row>
    <row r="223" spans="1:13" x14ac:dyDescent="0.3">
      <c r="A223" t="s">
        <v>1410</v>
      </c>
      <c r="B223" t="s">
        <v>1411</v>
      </c>
      <c r="C223">
        <v>2.0000000000000001E-4</v>
      </c>
      <c r="D223">
        <v>1.2999999999999999E-3</v>
      </c>
      <c r="E223">
        <v>1980000</v>
      </c>
      <c r="F223" t="s">
        <v>2145</v>
      </c>
      <c r="G223">
        <v>7240</v>
      </c>
      <c r="H223" t="s">
        <v>2146</v>
      </c>
      <c r="I223">
        <v>10260000000</v>
      </c>
      <c r="J223" t="s">
        <v>1415</v>
      </c>
      <c r="K223">
        <f>Cleaned_data[[#This Row],[Volume (24h) USD $]]/Cleaned_data[[#This Row],[Curculating Supply $]]</f>
        <v>7.0565302144249512E-7</v>
      </c>
      <c r="L223">
        <f>RANK(Cleaned_data[[#This Row],[Market Cap $]],Cleaned_data[Market Cap $],0)</f>
        <v>222</v>
      </c>
      <c r="M223" t="str">
        <f t="shared" si="3"/>
        <v>0-0.5</v>
      </c>
    </row>
    <row r="224" spans="1:13" x14ac:dyDescent="0.3">
      <c r="A224" t="s">
        <v>1416</v>
      </c>
      <c r="B224" t="s">
        <v>1417</v>
      </c>
      <c r="C224">
        <v>8.6999999999999994E-3</v>
      </c>
      <c r="D224">
        <v>1.6999999999999999E-3</v>
      </c>
      <c r="E224">
        <v>1980000</v>
      </c>
      <c r="F224" t="s">
        <v>2145</v>
      </c>
      <c r="G224">
        <v>1330000</v>
      </c>
      <c r="H224" t="s">
        <v>1925</v>
      </c>
      <c r="I224">
        <v>227360000</v>
      </c>
      <c r="J224" t="s">
        <v>1419</v>
      </c>
      <c r="K224">
        <f>Cleaned_data[[#This Row],[Volume (24h) USD $]]/Cleaned_data[[#This Row],[Curculating Supply $]]</f>
        <v>5.8497536945812806E-3</v>
      </c>
      <c r="L224">
        <f>RANK(Cleaned_data[[#This Row],[Market Cap $]],Cleaned_data[Market Cap $],0)</f>
        <v>222</v>
      </c>
      <c r="M224" t="str">
        <f t="shared" si="3"/>
        <v>0-0.5</v>
      </c>
    </row>
    <row r="225" spans="1:13" x14ac:dyDescent="0.3">
      <c r="A225" t="s">
        <v>1420</v>
      </c>
      <c r="B225" t="s">
        <v>1421</v>
      </c>
      <c r="C225">
        <v>364.31</v>
      </c>
      <c r="D225">
        <v>1E-4</v>
      </c>
      <c r="E225">
        <v>1970000</v>
      </c>
      <c r="F225" t="s">
        <v>2147</v>
      </c>
      <c r="G225">
        <v>307540</v>
      </c>
      <c r="H225" t="s">
        <v>2148</v>
      </c>
      <c r="I225">
        <v>5430</v>
      </c>
      <c r="J225" t="s">
        <v>1425</v>
      </c>
      <c r="K225">
        <f>Cleaned_data[[#This Row],[Volume (24h) USD $]]/Cleaned_data[[#This Row],[Curculating Supply $]]</f>
        <v>56.637200736648253</v>
      </c>
      <c r="L225">
        <f>RANK(Cleaned_data[[#This Row],[Market Cap $]],Cleaned_data[Market Cap $],0)</f>
        <v>225</v>
      </c>
      <c r="M225" t="str">
        <f t="shared" si="3"/>
        <v>100-10000</v>
      </c>
    </row>
    <row r="226" spans="1:13" x14ac:dyDescent="0.3">
      <c r="A226" t="s">
        <v>1426</v>
      </c>
      <c r="B226" t="s">
        <v>1427</v>
      </c>
      <c r="C226">
        <v>7.7000000000000002E-3</v>
      </c>
      <c r="D226">
        <v>3.8E-3</v>
      </c>
      <c r="E226">
        <v>1980000</v>
      </c>
      <c r="F226" t="s">
        <v>2145</v>
      </c>
      <c r="G226">
        <v>62360</v>
      </c>
      <c r="H226" t="s">
        <v>2149</v>
      </c>
      <c r="I226">
        <v>257760000</v>
      </c>
      <c r="J226" t="s">
        <v>1430</v>
      </c>
      <c r="K226">
        <f>Cleaned_data[[#This Row],[Volume (24h) USD $]]/Cleaned_data[[#This Row],[Curculating Supply $]]</f>
        <v>2.4193047796399752E-4</v>
      </c>
      <c r="L226">
        <f>RANK(Cleaned_data[[#This Row],[Market Cap $]],Cleaned_data[Market Cap $],0)</f>
        <v>222</v>
      </c>
      <c r="M226" t="str">
        <f t="shared" si="3"/>
        <v>0-0.5</v>
      </c>
    </row>
    <row r="227" spans="1:13" x14ac:dyDescent="0.3">
      <c r="A227" t="s">
        <v>1431</v>
      </c>
      <c r="B227" t="s">
        <v>1432</v>
      </c>
      <c r="C227">
        <v>2.92E-2</v>
      </c>
      <c r="D227">
        <v>1.5E-3</v>
      </c>
      <c r="E227">
        <v>1970000</v>
      </c>
      <c r="F227" t="s">
        <v>2147</v>
      </c>
      <c r="G227">
        <v>1860</v>
      </c>
      <c r="H227" t="s">
        <v>2150</v>
      </c>
      <c r="I227">
        <v>67700000</v>
      </c>
      <c r="J227" t="s">
        <v>1435</v>
      </c>
      <c r="K227">
        <f>Cleaned_data[[#This Row],[Volume (24h) USD $]]/Cleaned_data[[#This Row],[Curculating Supply $]]</f>
        <v>2.7474150664697195E-5</v>
      </c>
      <c r="L227">
        <f>RANK(Cleaned_data[[#This Row],[Market Cap $]],Cleaned_data[Market Cap $],0)</f>
        <v>225</v>
      </c>
      <c r="M227" t="str">
        <f t="shared" si="3"/>
        <v>0-0.5</v>
      </c>
    </row>
    <row r="228" spans="1:13" x14ac:dyDescent="0.3">
      <c r="A228" t="s">
        <v>1436</v>
      </c>
      <c r="B228" t="s">
        <v>1437</v>
      </c>
      <c r="C228">
        <v>446.65</v>
      </c>
      <c r="D228">
        <v>4.0000000000000002E-4</v>
      </c>
      <c r="E228">
        <v>1970000</v>
      </c>
      <c r="F228" t="s">
        <v>2147</v>
      </c>
      <c r="G228">
        <v>2770000</v>
      </c>
      <c r="H228" t="s">
        <v>2151</v>
      </c>
      <c r="I228">
        <v>4410</v>
      </c>
      <c r="J228" t="s">
        <v>1440</v>
      </c>
      <c r="K228">
        <f>Cleaned_data[[#This Row],[Volume (24h) USD $]]/Cleaned_data[[#This Row],[Curculating Supply $]]</f>
        <v>628.11791383219952</v>
      </c>
      <c r="L228">
        <f>RANK(Cleaned_data[[#This Row],[Market Cap $]],Cleaned_data[Market Cap $],0)</f>
        <v>225</v>
      </c>
      <c r="M228" t="str">
        <f t="shared" si="3"/>
        <v>100-10000</v>
      </c>
    </row>
    <row r="229" spans="1:13" x14ac:dyDescent="0.3">
      <c r="A229" t="s">
        <v>1446</v>
      </c>
      <c r="B229" t="s">
        <v>1447</v>
      </c>
      <c r="C229">
        <v>8.1799999999999998E-2</v>
      </c>
      <c r="D229">
        <v>1.1299999999999999E-2</v>
      </c>
      <c r="E229">
        <v>1590000</v>
      </c>
      <c r="F229" t="s">
        <v>1934</v>
      </c>
      <c r="G229">
        <v>226330</v>
      </c>
      <c r="H229" t="s">
        <v>2152</v>
      </c>
      <c r="I229">
        <v>19480000</v>
      </c>
      <c r="J229" t="s">
        <v>1450</v>
      </c>
      <c r="K229">
        <f>Cleaned_data[[#This Row],[Volume (24h) USD $]]/Cleaned_data[[#This Row],[Curculating Supply $]]</f>
        <v>1.1618583162217659E-2</v>
      </c>
      <c r="L229">
        <f>RANK(Cleaned_data[[#This Row],[Market Cap $]],Cleaned_data[Market Cap $],0)</f>
        <v>228</v>
      </c>
      <c r="M229" t="str">
        <f t="shared" si="3"/>
        <v>0-0.5</v>
      </c>
    </row>
    <row r="230" spans="1:13" x14ac:dyDescent="0.3">
      <c r="A230" t="s">
        <v>1451</v>
      </c>
      <c r="B230" t="s">
        <v>1452</v>
      </c>
      <c r="C230">
        <v>8.1699999999999995E-2</v>
      </c>
      <c r="D230">
        <v>2.0999999999999999E-3</v>
      </c>
      <c r="E230">
        <v>1590000</v>
      </c>
      <c r="F230" t="s">
        <v>1934</v>
      </c>
      <c r="G230">
        <v>108790</v>
      </c>
      <c r="H230" t="s">
        <v>2153</v>
      </c>
      <c r="I230">
        <v>960420000000000</v>
      </c>
      <c r="J230" t="s">
        <v>1455</v>
      </c>
      <c r="K230">
        <f>Cleaned_data[[#This Row],[Volume (24h) USD $]]/Cleaned_data[[#This Row],[Curculating Supply $]]</f>
        <v>1.1327335957185398E-10</v>
      </c>
      <c r="L230">
        <f>RANK(Cleaned_data[[#This Row],[Market Cap $]],Cleaned_data[Market Cap $],0)</f>
        <v>228</v>
      </c>
      <c r="M230" t="str">
        <f t="shared" si="3"/>
        <v>0-0.5</v>
      </c>
    </row>
    <row r="231" spans="1:13" x14ac:dyDescent="0.3">
      <c r="A231" t="s">
        <v>1456</v>
      </c>
      <c r="B231" t="s">
        <v>1457</v>
      </c>
      <c r="C231">
        <v>7.7999999999999996E-3</v>
      </c>
      <c r="D231">
        <v>1.6000000000000001E-3</v>
      </c>
      <c r="E231">
        <v>1590000</v>
      </c>
      <c r="F231" t="s">
        <v>1934</v>
      </c>
      <c r="G231">
        <v>610250</v>
      </c>
      <c r="H231" t="s">
        <v>2154</v>
      </c>
      <c r="I231">
        <v>205000000</v>
      </c>
      <c r="J231" t="s">
        <v>1460</v>
      </c>
      <c r="K231">
        <f>Cleaned_data[[#This Row],[Volume (24h) USD $]]/Cleaned_data[[#This Row],[Curculating Supply $]]</f>
        <v>2.9768292682926831E-3</v>
      </c>
      <c r="L231">
        <f>RANK(Cleaned_data[[#This Row],[Market Cap $]],Cleaned_data[Market Cap $],0)</f>
        <v>228</v>
      </c>
      <c r="M231" t="str">
        <f t="shared" si="3"/>
        <v>0-0.5</v>
      </c>
    </row>
    <row r="232" spans="1:13" x14ac:dyDescent="0.3">
      <c r="A232" t="s">
        <v>1461</v>
      </c>
      <c r="B232" t="s">
        <v>1462</v>
      </c>
      <c r="C232">
        <v>2.0999999999999999E-3</v>
      </c>
      <c r="D232">
        <v>1.1999999999999999E-3</v>
      </c>
      <c r="E232">
        <v>1580000</v>
      </c>
      <c r="F232" t="s">
        <v>1981</v>
      </c>
      <c r="G232">
        <v>110020</v>
      </c>
      <c r="H232" t="s">
        <v>2155</v>
      </c>
      <c r="I232">
        <v>754340000</v>
      </c>
      <c r="J232" t="s">
        <v>1465</v>
      </c>
      <c r="K232">
        <f>Cleaned_data[[#This Row],[Volume (24h) USD $]]/Cleaned_data[[#This Row],[Curculating Supply $]]</f>
        <v>1.4584935175119973E-4</v>
      </c>
      <c r="L232">
        <f>RANK(Cleaned_data[[#This Row],[Market Cap $]],Cleaned_data[Market Cap $],0)</f>
        <v>231</v>
      </c>
      <c r="M232" t="str">
        <f t="shared" si="3"/>
        <v>0-0.5</v>
      </c>
    </row>
    <row r="233" spans="1:13" x14ac:dyDescent="0.3">
      <c r="A233" t="s">
        <v>1466</v>
      </c>
      <c r="B233" t="s">
        <v>1467</v>
      </c>
      <c r="C233">
        <v>0.14979999999999999</v>
      </c>
      <c r="D233">
        <v>0</v>
      </c>
      <c r="E233">
        <v>1580000</v>
      </c>
      <c r="F233" t="s">
        <v>1981</v>
      </c>
      <c r="G233">
        <v>163.88</v>
      </c>
      <c r="H233" t="s">
        <v>2156</v>
      </c>
      <c r="I233">
        <v>10570000</v>
      </c>
      <c r="J233" t="s">
        <v>1470</v>
      </c>
      <c r="K233">
        <f>Cleaned_data[[#This Row],[Volume (24h) USD $]]/Cleaned_data[[#This Row],[Curculating Supply $]]</f>
        <v>1.55042573320719E-5</v>
      </c>
      <c r="L233">
        <f>RANK(Cleaned_data[[#This Row],[Market Cap $]],Cleaned_data[Market Cap $],0)</f>
        <v>231</v>
      </c>
      <c r="M233" t="str">
        <f t="shared" si="3"/>
        <v>0-0.5</v>
      </c>
    </row>
    <row r="234" spans="1:13" x14ac:dyDescent="0.3">
      <c r="A234" t="s">
        <v>1471</v>
      </c>
      <c r="B234" t="s">
        <v>1472</v>
      </c>
      <c r="C234">
        <v>5.2900000000000003E-2</v>
      </c>
      <c r="D234">
        <v>1.9E-3</v>
      </c>
      <c r="E234">
        <v>1580000</v>
      </c>
      <c r="F234" t="s">
        <v>1981</v>
      </c>
      <c r="G234">
        <v>14390</v>
      </c>
      <c r="H234" t="s">
        <v>2157</v>
      </c>
      <c r="I234">
        <v>29940000</v>
      </c>
      <c r="J234" t="s">
        <v>1476</v>
      </c>
      <c r="K234">
        <f>Cleaned_data[[#This Row],[Volume (24h) USD $]]/Cleaned_data[[#This Row],[Curculating Supply $]]</f>
        <v>4.8062792251169005E-4</v>
      </c>
      <c r="L234">
        <f>RANK(Cleaned_data[[#This Row],[Market Cap $]],Cleaned_data[Market Cap $],0)</f>
        <v>231</v>
      </c>
      <c r="M234" t="str">
        <f t="shared" si="3"/>
        <v>0-0.5</v>
      </c>
    </row>
    <row r="235" spans="1:13" x14ac:dyDescent="0.3">
      <c r="A235" t="s">
        <v>1485</v>
      </c>
      <c r="B235" t="s">
        <v>1486</v>
      </c>
      <c r="C235">
        <v>76.900000000000006</v>
      </c>
      <c r="D235">
        <v>7.4000000000000003E-3</v>
      </c>
      <c r="E235">
        <v>1570000</v>
      </c>
      <c r="F235" t="s">
        <v>2158</v>
      </c>
      <c r="G235">
        <v>209200</v>
      </c>
      <c r="H235" t="s">
        <v>2159</v>
      </c>
      <c r="I235">
        <v>20500</v>
      </c>
      <c r="J235" t="s">
        <v>1489</v>
      </c>
      <c r="K235">
        <f>Cleaned_data[[#This Row],[Volume (24h) USD $]]/Cleaned_data[[#This Row],[Curculating Supply $]]</f>
        <v>10.204878048780488</v>
      </c>
      <c r="L235">
        <f>RANK(Cleaned_data[[#This Row],[Market Cap $]],Cleaned_data[Market Cap $],0)</f>
        <v>234</v>
      </c>
      <c r="M235" t="str">
        <f t="shared" si="3"/>
        <v>10-100</v>
      </c>
    </row>
    <row r="236" spans="1:13" x14ac:dyDescent="0.3">
      <c r="A236" t="s">
        <v>1494</v>
      </c>
      <c r="B236" t="s">
        <v>1495</v>
      </c>
      <c r="C236">
        <v>568.13</v>
      </c>
      <c r="D236">
        <v>7.3000000000000001E-3</v>
      </c>
      <c r="E236">
        <v>1570000</v>
      </c>
      <c r="F236" t="s">
        <v>2158</v>
      </c>
      <c r="G236">
        <v>2720000</v>
      </c>
      <c r="H236" t="s">
        <v>2160</v>
      </c>
      <c r="I236">
        <v>2760</v>
      </c>
      <c r="J236" t="s">
        <v>1499</v>
      </c>
      <c r="K236">
        <f>Cleaned_data[[#This Row],[Volume (24h) USD $]]/Cleaned_data[[#This Row],[Curculating Supply $]]</f>
        <v>985.50724637681162</v>
      </c>
      <c r="L236">
        <f>RANK(Cleaned_data[[#This Row],[Market Cap $]],Cleaned_data[Market Cap $],0)</f>
        <v>234</v>
      </c>
      <c r="M236" t="str">
        <f t="shared" si="3"/>
        <v>100-10000</v>
      </c>
    </row>
    <row r="237" spans="1:13" x14ac:dyDescent="0.3">
      <c r="A237" t="s">
        <v>1500</v>
      </c>
      <c r="B237" t="s">
        <v>1501</v>
      </c>
      <c r="C237">
        <v>2.0000000000000001E-4</v>
      </c>
      <c r="D237">
        <v>8.0000000000000004E-4</v>
      </c>
      <c r="E237">
        <v>1570000</v>
      </c>
      <c r="F237" t="s">
        <v>2158</v>
      </c>
      <c r="G237">
        <v>92510</v>
      </c>
      <c r="H237" t="s">
        <v>2161</v>
      </c>
      <c r="I237">
        <v>7000000000</v>
      </c>
      <c r="J237" t="s">
        <v>1504</v>
      </c>
      <c r="K237">
        <f>Cleaned_data[[#This Row],[Volume (24h) USD $]]/Cleaned_data[[#This Row],[Curculating Supply $]]</f>
        <v>1.3215714285714286E-5</v>
      </c>
      <c r="L237">
        <f>RANK(Cleaned_data[[#This Row],[Market Cap $]],Cleaned_data[Market Cap $],0)</f>
        <v>234</v>
      </c>
      <c r="M237" t="str">
        <f t="shared" si="3"/>
        <v>0-0.5</v>
      </c>
    </row>
    <row r="238" spans="1:13" x14ac:dyDescent="0.3">
      <c r="A238" t="s">
        <v>1505</v>
      </c>
      <c r="B238" t="s">
        <v>1506</v>
      </c>
      <c r="C238">
        <v>2.9999999999999997E-4</v>
      </c>
      <c r="D238">
        <v>0</v>
      </c>
      <c r="E238">
        <v>1560000</v>
      </c>
      <c r="F238" t="s">
        <v>2162</v>
      </c>
      <c r="G238">
        <v>366020</v>
      </c>
      <c r="H238" t="s">
        <v>2163</v>
      </c>
      <c r="I238">
        <v>6190000000</v>
      </c>
      <c r="J238" t="s">
        <v>1510</v>
      </c>
      <c r="K238">
        <f>Cleaned_data[[#This Row],[Volume (24h) USD $]]/Cleaned_data[[#This Row],[Curculating Supply $]]</f>
        <v>5.9130856219709206E-5</v>
      </c>
      <c r="L238">
        <f>RANK(Cleaned_data[[#This Row],[Market Cap $]],Cleaned_data[Market Cap $],0)</f>
        <v>237</v>
      </c>
      <c r="M238" t="str">
        <f t="shared" si="3"/>
        <v>0-0.5</v>
      </c>
    </row>
    <row r="239" spans="1:13" x14ac:dyDescent="0.3">
      <c r="A239" t="s">
        <v>1511</v>
      </c>
      <c r="B239" t="s">
        <v>1512</v>
      </c>
      <c r="C239">
        <v>5.9999999999999995E-4</v>
      </c>
      <c r="D239">
        <v>2.0500000000000001E-2</v>
      </c>
      <c r="E239">
        <v>1550000</v>
      </c>
      <c r="F239" t="s">
        <v>2164</v>
      </c>
      <c r="G239">
        <v>20640</v>
      </c>
      <c r="H239" t="s">
        <v>2165</v>
      </c>
      <c r="I239">
        <v>2510000000</v>
      </c>
      <c r="J239" t="s">
        <v>1517</v>
      </c>
      <c r="K239">
        <f>Cleaned_data[[#This Row],[Volume (24h) USD $]]/Cleaned_data[[#This Row],[Curculating Supply $]]</f>
        <v>8.2231075697211163E-6</v>
      </c>
      <c r="L239">
        <f>RANK(Cleaned_data[[#This Row],[Market Cap $]],Cleaned_data[Market Cap $],0)</f>
        <v>238</v>
      </c>
      <c r="M239" t="str">
        <f t="shared" si="3"/>
        <v>0-0.5</v>
      </c>
    </row>
    <row r="240" spans="1:13" x14ac:dyDescent="0.3">
      <c r="A240" t="s">
        <v>1524</v>
      </c>
      <c r="B240" t="s">
        <v>1525</v>
      </c>
      <c r="C240">
        <v>9.2999999999999992E-3</v>
      </c>
      <c r="D240">
        <v>1.9E-3</v>
      </c>
      <c r="E240">
        <v>1290000</v>
      </c>
      <c r="F240" t="s">
        <v>2166</v>
      </c>
      <c r="G240">
        <v>122730</v>
      </c>
      <c r="H240" t="s">
        <v>2167</v>
      </c>
      <c r="I240">
        <v>139770000</v>
      </c>
      <c r="J240" t="s">
        <v>1528</v>
      </c>
      <c r="K240">
        <f>Cleaned_data[[#This Row],[Volume (24h) USD $]]/Cleaned_data[[#This Row],[Curculating Supply $]]</f>
        <v>8.7808542605709381E-4</v>
      </c>
      <c r="L240">
        <f>RANK(Cleaned_data[[#This Row],[Market Cap $]],Cleaned_data[Market Cap $],0)</f>
        <v>239</v>
      </c>
      <c r="M240" t="str">
        <f t="shared" si="3"/>
        <v>0-0.5</v>
      </c>
    </row>
    <row r="241" spans="1:13" x14ac:dyDescent="0.3">
      <c r="A241" t="s">
        <v>1529</v>
      </c>
      <c r="B241" t="s">
        <v>1530</v>
      </c>
      <c r="C241">
        <v>8.0000000000000004E-4</v>
      </c>
      <c r="D241">
        <v>8.0000000000000002E-3</v>
      </c>
      <c r="E241">
        <v>1290000</v>
      </c>
      <c r="F241" t="s">
        <v>2166</v>
      </c>
      <c r="G241">
        <v>111660</v>
      </c>
      <c r="H241" t="s">
        <v>2168</v>
      </c>
      <c r="I241">
        <v>1610000000</v>
      </c>
      <c r="J241" t="s">
        <v>1533</v>
      </c>
      <c r="K241">
        <f>Cleaned_data[[#This Row],[Volume (24h) USD $]]/Cleaned_data[[#This Row],[Curculating Supply $]]</f>
        <v>6.9354037267080752E-5</v>
      </c>
      <c r="L241">
        <f>RANK(Cleaned_data[[#This Row],[Market Cap $]],Cleaned_data[Market Cap $],0)</f>
        <v>239</v>
      </c>
      <c r="M241" t="str">
        <f t="shared" si="3"/>
        <v>0-0.5</v>
      </c>
    </row>
    <row r="242" spans="1:13" x14ac:dyDescent="0.3">
      <c r="A242" t="s">
        <v>1534</v>
      </c>
      <c r="B242" t="s">
        <v>1535</v>
      </c>
      <c r="C242">
        <v>2.9999999999999997E-4</v>
      </c>
      <c r="D242">
        <v>1.06E-2</v>
      </c>
      <c r="E242">
        <v>1290000</v>
      </c>
      <c r="F242" t="s">
        <v>2166</v>
      </c>
      <c r="G242">
        <v>11410</v>
      </c>
      <c r="H242" t="s">
        <v>2169</v>
      </c>
      <c r="I242">
        <v>4680000000</v>
      </c>
      <c r="J242" t="s">
        <v>1539</v>
      </c>
      <c r="K242">
        <f>Cleaned_data[[#This Row],[Volume (24h) USD $]]/Cleaned_data[[#This Row],[Curculating Supply $]]</f>
        <v>2.4380341880341881E-6</v>
      </c>
      <c r="L242">
        <f>RANK(Cleaned_data[[#This Row],[Market Cap $]],Cleaned_data[Market Cap $],0)</f>
        <v>239</v>
      </c>
      <c r="M242" t="str">
        <f t="shared" si="3"/>
        <v>0-0.5</v>
      </c>
    </row>
    <row r="243" spans="1:13" x14ac:dyDescent="0.3">
      <c r="A243" t="s">
        <v>1540</v>
      </c>
      <c r="B243" t="s">
        <v>1541</v>
      </c>
      <c r="C243">
        <v>108.69</v>
      </c>
      <c r="D243">
        <v>1.1999999999999999E-3</v>
      </c>
      <c r="E243">
        <v>1280000</v>
      </c>
      <c r="F243" t="s">
        <v>2048</v>
      </c>
      <c r="G243">
        <v>938760</v>
      </c>
      <c r="H243" t="s">
        <v>2170</v>
      </c>
      <c r="I243">
        <v>11860</v>
      </c>
      <c r="J243" t="s">
        <v>1544</v>
      </c>
      <c r="K243">
        <f>Cleaned_data[[#This Row],[Volume (24h) USD $]]/Cleaned_data[[#This Row],[Curculating Supply $]]</f>
        <v>79.153456998313658</v>
      </c>
      <c r="L243">
        <f>RANK(Cleaned_data[[#This Row],[Market Cap $]],Cleaned_data[Market Cap $],0)</f>
        <v>242</v>
      </c>
      <c r="M243" t="str">
        <f t="shared" si="3"/>
        <v>100-10000</v>
      </c>
    </row>
    <row r="244" spans="1:13" x14ac:dyDescent="0.3">
      <c r="A244" t="s">
        <v>1545</v>
      </c>
      <c r="B244" t="s">
        <v>1546</v>
      </c>
      <c r="C244">
        <v>1.2999999999999999E-3</v>
      </c>
      <c r="D244">
        <v>2E-3</v>
      </c>
      <c r="E244">
        <v>1280000</v>
      </c>
      <c r="F244" t="s">
        <v>2048</v>
      </c>
      <c r="G244">
        <v>33770</v>
      </c>
      <c r="H244" t="s">
        <v>2171</v>
      </c>
      <c r="I244">
        <v>1000000000</v>
      </c>
      <c r="J244" t="s">
        <v>482</v>
      </c>
      <c r="K244">
        <f>Cleaned_data[[#This Row],[Volume (24h) USD $]]/Cleaned_data[[#This Row],[Curculating Supply $]]</f>
        <v>3.3769999999999997E-5</v>
      </c>
      <c r="L244">
        <f>RANK(Cleaned_data[[#This Row],[Market Cap $]],Cleaned_data[Market Cap $],0)</f>
        <v>242</v>
      </c>
      <c r="M244" t="str">
        <f t="shared" si="3"/>
        <v>0-0.5</v>
      </c>
    </row>
    <row r="245" spans="1:13" x14ac:dyDescent="0.3">
      <c r="A245" t="s">
        <v>1549</v>
      </c>
      <c r="B245" t="s">
        <v>1550</v>
      </c>
      <c r="C245">
        <v>85.3</v>
      </c>
      <c r="D245">
        <v>2.2000000000000001E-3</v>
      </c>
      <c r="E245">
        <v>1280000</v>
      </c>
      <c r="F245" t="s">
        <v>2048</v>
      </c>
      <c r="G245">
        <v>273940</v>
      </c>
      <c r="H245" t="s">
        <v>2172</v>
      </c>
      <c r="I245">
        <v>15050</v>
      </c>
      <c r="J245" t="s">
        <v>1553</v>
      </c>
      <c r="K245">
        <f>Cleaned_data[[#This Row],[Volume (24h) USD $]]/Cleaned_data[[#This Row],[Curculating Supply $]]</f>
        <v>18.201993355481729</v>
      </c>
      <c r="L245">
        <f>RANK(Cleaned_data[[#This Row],[Market Cap $]],Cleaned_data[Market Cap $],0)</f>
        <v>242</v>
      </c>
      <c r="M245" t="str">
        <f t="shared" si="3"/>
        <v>10-100</v>
      </c>
    </row>
    <row r="246" spans="1:13" x14ac:dyDescent="0.3">
      <c r="A246" t="s">
        <v>1554</v>
      </c>
      <c r="B246" t="s">
        <v>1555</v>
      </c>
      <c r="C246">
        <v>8.0000000000000002E-3</v>
      </c>
      <c r="D246">
        <v>1.1000000000000001E-3</v>
      </c>
      <c r="E246">
        <v>1270000</v>
      </c>
      <c r="F246" t="s">
        <v>2173</v>
      </c>
      <c r="G246">
        <v>834210</v>
      </c>
      <c r="H246" t="s">
        <v>2174</v>
      </c>
      <c r="I246">
        <v>160840000</v>
      </c>
      <c r="J246" t="s">
        <v>1559</v>
      </c>
      <c r="K246">
        <f>Cleaned_data[[#This Row],[Volume (24h) USD $]]/Cleaned_data[[#This Row],[Curculating Supply $]]</f>
        <v>5.1865829395672716E-3</v>
      </c>
      <c r="L246">
        <f>RANK(Cleaned_data[[#This Row],[Market Cap $]],Cleaned_data[Market Cap $],0)</f>
        <v>245</v>
      </c>
      <c r="M246" t="str">
        <f t="shared" si="3"/>
        <v>0-0.5</v>
      </c>
    </row>
    <row r="247" spans="1:13" x14ac:dyDescent="0.3">
      <c r="A247" t="s">
        <v>1565</v>
      </c>
      <c r="B247" t="s">
        <v>1566</v>
      </c>
      <c r="C247">
        <v>72.87</v>
      </c>
      <c r="D247">
        <v>2.9999999999999997E-4</v>
      </c>
      <c r="E247">
        <v>1270000</v>
      </c>
      <c r="F247" t="s">
        <v>2173</v>
      </c>
      <c r="G247">
        <v>135900</v>
      </c>
      <c r="H247" t="s">
        <v>2175</v>
      </c>
      <c r="I247">
        <v>17530</v>
      </c>
      <c r="J247" t="s">
        <v>1569</v>
      </c>
      <c r="K247">
        <f>Cleaned_data[[#This Row],[Volume (24h) USD $]]/Cleaned_data[[#This Row],[Curculating Supply $]]</f>
        <v>7.7524244152880772</v>
      </c>
      <c r="L247">
        <f>RANK(Cleaned_data[[#This Row],[Market Cap $]],Cleaned_data[Market Cap $],0)</f>
        <v>245</v>
      </c>
      <c r="M247" t="str">
        <f t="shared" si="3"/>
        <v>10-100</v>
      </c>
    </row>
    <row r="248" spans="1:13" x14ac:dyDescent="0.3">
      <c r="A248" t="s">
        <v>1573</v>
      </c>
      <c r="B248" t="s">
        <v>1573</v>
      </c>
      <c r="C248">
        <v>8.3000000000000004E-2</v>
      </c>
      <c r="D248">
        <v>1.26E-2</v>
      </c>
      <c r="E248">
        <v>1270000</v>
      </c>
      <c r="F248" t="s">
        <v>2173</v>
      </c>
      <c r="G248">
        <v>3840</v>
      </c>
      <c r="H248" t="s">
        <v>2176</v>
      </c>
      <c r="I248">
        <v>420690000000000</v>
      </c>
      <c r="J248" t="s">
        <v>1577</v>
      </c>
      <c r="K248">
        <f>Cleaned_data[[#This Row],[Volume (24h) USD $]]/Cleaned_data[[#This Row],[Curculating Supply $]]</f>
        <v>9.127861370605434E-12</v>
      </c>
      <c r="L248">
        <f>RANK(Cleaned_data[[#This Row],[Market Cap $]],Cleaned_data[Market Cap $],0)</f>
        <v>245</v>
      </c>
      <c r="M248" t="str">
        <f t="shared" si="3"/>
        <v>0-0.5</v>
      </c>
    </row>
    <row r="249" spans="1:13" x14ac:dyDescent="0.3">
      <c r="A249" t="s">
        <v>1578</v>
      </c>
      <c r="B249" t="s">
        <v>1579</v>
      </c>
      <c r="C249">
        <v>2.5000000000000001E-3</v>
      </c>
      <c r="D249">
        <v>2.8999999999999998E-3</v>
      </c>
      <c r="E249">
        <v>1270000</v>
      </c>
      <c r="F249" t="s">
        <v>2173</v>
      </c>
      <c r="G249">
        <v>94550</v>
      </c>
      <c r="H249" t="s">
        <v>2177</v>
      </c>
      <c r="I249">
        <v>503180000</v>
      </c>
      <c r="J249" t="s">
        <v>1582</v>
      </c>
      <c r="K249">
        <f>Cleaned_data[[#This Row],[Volume (24h) USD $]]/Cleaned_data[[#This Row],[Curculating Supply $]]</f>
        <v>1.8790492467904129E-4</v>
      </c>
      <c r="L249">
        <f>RANK(Cleaned_data[[#This Row],[Market Cap $]],Cleaned_data[Market Cap $],0)</f>
        <v>245</v>
      </c>
      <c r="M249" t="str">
        <f t="shared" si="3"/>
        <v>0-0.5</v>
      </c>
    </row>
    <row r="250" spans="1:13" x14ac:dyDescent="0.3">
      <c r="A250" t="s">
        <v>1583</v>
      </c>
      <c r="B250" t="s">
        <v>1584</v>
      </c>
      <c r="C250">
        <v>4.8599999999999997E-2</v>
      </c>
      <c r="D250">
        <v>6.9999999999999999E-4</v>
      </c>
      <c r="E250">
        <v>1260000</v>
      </c>
      <c r="F250" t="s">
        <v>2178</v>
      </c>
      <c r="G250">
        <v>5.87</v>
      </c>
      <c r="H250" t="s">
        <v>2179</v>
      </c>
      <c r="I250">
        <v>26090000</v>
      </c>
      <c r="J250" t="s">
        <v>1588</v>
      </c>
      <c r="K250">
        <f>Cleaned_data[[#This Row],[Volume (24h) USD $]]/Cleaned_data[[#This Row],[Curculating Supply $]]</f>
        <v>2.249904177845918E-7</v>
      </c>
      <c r="L250">
        <f>RANK(Cleaned_data[[#This Row],[Market Cap $]],Cleaned_data[Market Cap $],0)</f>
        <v>249</v>
      </c>
      <c r="M250" t="str">
        <f t="shared" si="3"/>
        <v>0-0.5</v>
      </c>
    </row>
    <row r="251" spans="1:13" x14ac:dyDescent="0.3">
      <c r="A251" t="s">
        <v>1589</v>
      </c>
      <c r="B251" t="s">
        <v>1590</v>
      </c>
      <c r="C251">
        <v>9.6199999999999994E-2</v>
      </c>
      <c r="D251">
        <v>2.3999999999999998E-3</v>
      </c>
      <c r="E251">
        <v>1260000</v>
      </c>
      <c r="F251" t="s">
        <v>2178</v>
      </c>
      <c r="G251">
        <v>67320</v>
      </c>
      <c r="H251" t="s">
        <v>2180</v>
      </c>
      <c r="I251">
        <v>13170000</v>
      </c>
      <c r="J251" t="s">
        <v>1593</v>
      </c>
      <c r="K251">
        <f>Cleaned_data[[#This Row],[Volume (24h) USD $]]/Cleaned_data[[#This Row],[Curculating Supply $]]</f>
        <v>5.1116173120728933E-3</v>
      </c>
      <c r="L251">
        <f>RANK(Cleaned_data[[#This Row],[Market Cap $]],Cleaned_data[Market Cap $],0)</f>
        <v>249</v>
      </c>
      <c r="M251" t="str">
        <f t="shared" si="3"/>
        <v>0-0.5</v>
      </c>
    </row>
    <row r="252" spans="1:13" x14ac:dyDescent="0.3">
      <c r="A252" t="s">
        <v>1594</v>
      </c>
      <c r="B252" t="s">
        <v>1595</v>
      </c>
      <c r="C252">
        <v>2.1000000000000001E-2</v>
      </c>
      <c r="D252">
        <v>1.8E-3</v>
      </c>
      <c r="E252">
        <v>1070000</v>
      </c>
      <c r="F252" t="s">
        <v>2181</v>
      </c>
      <c r="G252">
        <v>56390</v>
      </c>
      <c r="H252" t="s">
        <v>2182</v>
      </c>
      <c r="I252">
        <v>51390000</v>
      </c>
      <c r="J252" t="s">
        <v>1599</v>
      </c>
      <c r="K252">
        <f>Cleaned_data[[#This Row],[Volume (24h) USD $]]/Cleaned_data[[#This Row],[Curculating Supply $]]</f>
        <v>1.0972951936174353E-3</v>
      </c>
      <c r="L252">
        <f>RANK(Cleaned_data[[#This Row],[Market Cap $]],Cleaned_data[Market Cap $],0)</f>
        <v>251</v>
      </c>
      <c r="M252" t="str">
        <f t="shared" si="3"/>
        <v>0-0.5</v>
      </c>
    </row>
    <row r="253" spans="1:13" x14ac:dyDescent="0.3">
      <c r="A253" t="s">
        <v>1600</v>
      </c>
      <c r="B253" t="s">
        <v>1601</v>
      </c>
      <c r="C253">
        <v>5.2600000000000001E-2</v>
      </c>
      <c r="D253">
        <v>5.3E-3</v>
      </c>
      <c r="E253">
        <v>1070000</v>
      </c>
      <c r="F253" t="s">
        <v>2181</v>
      </c>
      <c r="G253">
        <v>1320</v>
      </c>
      <c r="H253" t="s">
        <v>2183</v>
      </c>
      <c r="I253">
        <v>410270000000</v>
      </c>
      <c r="J253" t="s">
        <v>1605</v>
      </c>
      <c r="K253">
        <f>Cleaned_data[[#This Row],[Volume (24h) USD $]]/Cleaned_data[[#This Row],[Curculating Supply $]]</f>
        <v>3.2173934238428352E-9</v>
      </c>
      <c r="L253">
        <f>RANK(Cleaned_data[[#This Row],[Market Cap $]],Cleaned_data[Market Cap $],0)</f>
        <v>251</v>
      </c>
      <c r="M253" t="str">
        <f t="shared" si="3"/>
        <v>0-0.5</v>
      </c>
    </row>
    <row r="254" spans="1:13" x14ac:dyDescent="0.3">
      <c r="A254" t="s">
        <v>1606</v>
      </c>
      <c r="B254" t="s">
        <v>1607</v>
      </c>
      <c r="C254">
        <v>270.05</v>
      </c>
      <c r="D254">
        <v>2.3999999999999998E-3</v>
      </c>
      <c r="E254">
        <v>1070000</v>
      </c>
      <c r="F254" t="s">
        <v>2181</v>
      </c>
      <c r="G254">
        <v>3650000</v>
      </c>
      <c r="H254" t="s">
        <v>2184</v>
      </c>
      <c r="I254">
        <v>3990</v>
      </c>
      <c r="J254" t="s">
        <v>1610</v>
      </c>
      <c r="K254">
        <f>Cleaned_data[[#This Row],[Volume (24h) USD $]]/Cleaned_data[[#This Row],[Curculating Supply $]]</f>
        <v>914.7869674185464</v>
      </c>
      <c r="L254">
        <f>RANK(Cleaned_data[[#This Row],[Market Cap $]],Cleaned_data[Market Cap $],0)</f>
        <v>251</v>
      </c>
      <c r="M254" t="str">
        <f t="shared" si="3"/>
        <v>100-10000</v>
      </c>
    </row>
    <row r="255" spans="1:13" x14ac:dyDescent="0.3">
      <c r="A255" t="s">
        <v>1611</v>
      </c>
      <c r="B255" t="s">
        <v>1612</v>
      </c>
      <c r="C255">
        <v>22.95</v>
      </c>
      <c r="D255">
        <v>0</v>
      </c>
      <c r="E255">
        <v>1070000</v>
      </c>
      <c r="F255" t="s">
        <v>2181</v>
      </c>
      <c r="G255">
        <v>74870</v>
      </c>
      <c r="H255" t="s">
        <v>2185</v>
      </c>
      <c r="I255">
        <v>46640</v>
      </c>
      <c r="J255" t="s">
        <v>1615</v>
      </c>
      <c r="K255">
        <f>Cleaned_data[[#This Row],[Volume (24h) USD $]]/Cleaned_data[[#This Row],[Curculating Supply $]]</f>
        <v>1.6052744425385934</v>
      </c>
      <c r="L255">
        <f>RANK(Cleaned_data[[#This Row],[Market Cap $]],Cleaned_data[Market Cap $],0)</f>
        <v>251</v>
      </c>
      <c r="M255" t="str">
        <f t="shared" si="3"/>
        <v>10-100</v>
      </c>
    </row>
    <row r="256" spans="1:13" x14ac:dyDescent="0.3">
      <c r="A256" t="s">
        <v>1616</v>
      </c>
      <c r="B256" t="s">
        <v>1617</v>
      </c>
      <c r="C256">
        <v>2.0999999999999999E-3</v>
      </c>
      <c r="D256">
        <v>1E-3</v>
      </c>
      <c r="E256">
        <v>1060000</v>
      </c>
      <c r="F256" t="s">
        <v>2018</v>
      </c>
      <c r="G256">
        <v>129780</v>
      </c>
      <c r="H256" t="s">
        <v>2186</v>
      </c>
      <c r="I256">
        <v>504080000</v>
      </c>
      <c r="J256" t="s">
        <v>1620</v>
      </c>
      <c r="K256">
        <f>Cleaned_data[[#This Row],[Volume (24h) USD $]]/Cleaned_data[[#This Row],[Curculating Supply $]]</f>
        <v>2.5745913347087766E-4</v>
      </c>
      <c r="L256">
        <f>RANK(Cleaned_data[[#This Row],[Market Cap $]],Cleaned_data[Market Cap $],0)</f>
        <v>255</v>
      </c>
      <c r="M256" t="str">
        <f t="shared" si="3"/>
        <v>0-0.5</v>
      </c>
    </row>
    <row r="257" spans="1:13" x14ac:dyDescent="0.3">
      <c r="A257" t="s">
        <v>1621</v>
      </c>
      <c r="B257" t="s">
        <v>1622</v>
      </c>
      <c r="C257">
        <v>5.7000000000000002E-3</v>
      </c>
      <c r="D257">
        <v>3.4200000000000001E-2</v>
      </c>
      <c r="E257">
        <v>1060000</v>
      </c>
      <c r="F257" t="s">
        <v>2018</v>
      </c>
      <c r="G257">
        <v>13740</v>
      </c>
      <c r="H257" t="s">
        <v>2187</v>
      </c>
      <c r="I257">
        <v>185930000</v>
      </c>
      <c r="J257" t="s">
        <v>1626</v>
      </c>
      <c r="K257">
        <f>Cleaned_data[[#This Row],[Volume (24h) USD $]]/Cleaned_data[[#This Row],[Curculating Supply $]]</f>
        <v>7.3898779110417894E-5</v>
      </c>
      <c r="L257">
        <f>RANK(Cleaned_data[[#This Row],[Market Cap $]],Cleaned_data[Market Cap $],0)</f>
        <v>255</v>
      </c>
      <c r="M257" t="str">
        <f t="shared" si="3"/>
        <v>0-0.5</v>
      </c>
    </row>
    <row r="258" spans="1:13" x14ac:dyDescent="0.3">
      <c r="A258" t="s">
        <v>1627</v>
      </c>
      <c r="B258" t="s">
        <v>1628</v>
      </c>
      <c r="C258">
        <v>1E-4</v>
      </c>
      <c r="D258">
        <v>0</v>
      </c>
      <c r="E258">
        <v>1040000</v>
      </c>
      <c r="F258" t="s">
        <v>2065</v>
      </c>
      <c r="G258">
        <v>53830</v>
      </c>
      <c r="H258" t="s">
        <v>2188</v>
      </c>
      <c r="I258">
        <v>15900000000</v>
      </c>
      <c r="J258" t="s">
        <v>1631</v>
      </c>
      <c r="K258">
        <f>Cleaned_data[[#This Row],[Volume (24h) USD $]]/Cleaned_data[[#This Row],[Curculating Supply $]]</f>
        <v>3.3855345911949686E-6</v>
      </c>
      <c r="L258">
        <f>RANK(Cleaned_data[[#This Row],[Market Cap $]],Cleaned_data[Market Cap $],0)</f>
        <v>260</v>
      </c>
      <c r="M258" t="str">
        <f t="shared" ref="M258:M277" si="4">IF(C258&lt;=0.5,"0-0.5",
IF(C258&lt;=1,"0.5-1",
IF(C258&lt;=2,"1-2",
IF(C258&lt;=10,"2-10",
IF(C258&lt;=100,"10-100",
IF(C258&lt;=10000,"100-10000",
"10000+"))))))</f>
        <v>0-0.5</v>
      </c>
    </row>
    <row r="259" spans="1:13" x14ac:dyDescent="0.3">
      <c r="A259" t="s">
        <v>1635</v>
      </c>
      <c r="B259" t="s">
        <v>1636</v>
      </c>
      <c r="C259">
        <v>17.850000000000001</v>
      </c>
      <c r="D259">
        <v>8.0000000000000004E-4</v>
      </c>
      <c r="E259">
        <v>1060000</v>
      </c>
      <c r="F259" t="s">
        <v>2018</v>
      </c>
      <c r="G259">
        <v>162760</v>
      </c>
      <c r="H259" t="s">
        <v>2189</v>
      </c>
      <c r="I259">
        <v>59480</v>
      </c>
      <c r="J259" t="s">
        <v>1639</v>
      </c>
      <c r="K259">
        <f>Cleaned_data[[#This Row],[Volume (24h) USD $]]/Cleaned_data[[#This Row],[Curculating Supply $]]</f>
        <v>2.7363819771351716</v>
      </c>
      <c r="L259">
        <f>RANK(Cleaned_data[[#This Row],[Market Cap $]],Cleaned_data[Market Cap $],0)</f>
        <v>255</v>
      </c>
      <c r="M259" t="str">
        <f t="shared" si="4"/>
        <v>10-100</v>
      </c>
    </row>
    <row r="260" spans="1:13" x14ac:dyDescent="0.3">
      <c r="A260" t="s">
        <v>1640</v>
      </c>
      <c r="B260" t="s">
        <v>1641</v>
      </c>
      <c r="C260">
        <v>7.0599999999999996E-2</v>
      </c>
      <c r="D260">
        <v>1.9E-3</v>
      </c>
      <c r="E260">
        <v>1050000</v>
      </c>
      <c r="F260" t="s">
        <v>2190</v>
      </c>
      <c r="G260">
        <v>92990</v>
      </c>
      <c r="H260" t="s">
        <v>2191</v>
      </c>
      <c r="I260">
        <v>14950000</v>
      </c>
      <c r="J260" t="s">
        <v>1645</v>
      </c>
      <c r="K260">
        <f>Cleaned_data[[#This Row],[Volume (24h) USD $]]/Cleaned_data[[#This Row],[Curculating Supply $]]</f>
        <v>6.2200668896321074E-3</v>
      </c>
      <c r="L260">
        <f>RANK(Cleaned_data[[#This Row],[Market Cap $]],Cleaned_data[Market Cap $],0)</f>
        <v>258</v>
      </c>
      <c r="M260" t="str">
        <f t="shared" si="4"/>
        <v>0-0.5</v>
      </c>
    </row>
    <row r="261" spans="1:13" x14ac:dyDescent="0.3">
      <c r="A261" t="s">
        <v>1646</v>
      </c>
      <c r="B261" t="s">
        <v>1647</v>
      </c>
      <c r="C261">
        <v>5.2499999999999998E-2</v>
      </c>
      <c r="D261">
        <v>0</v>
      </c>
      <c r="E261">
        <v>1050000</v>
      </c>
      <c r="F261" t="s">
        <v>2190</v>
      </c>
      <c r="G261">
        <v>41110</v>
      </c>
      <c r="H261" t="s">
        <v>2192</v>
      </c>
      <c r="I261">
        <v>420690000000</v>
      </c>
      <c r="J261" t="s">
        <v>1650</v>
      </c>
      <c r="K261">
        <f>Cleaned_data[[#This Row],[Volume (24h) USD $]]/Cleaned_data[[#This Row],[Curculating Supply $]]</f>
        <v>9.7720411704580574E-8</v>
      </c>
      <c r="L261">
        <f>RANK(Cleaned_data[[#This Row],[Market Cap $]],Cleaned_data[Market Cap $],0)</f>
        <v>258</v>
      </c>
      <c r="M261" t="str">
        <f t="shared" si="4"/>
        <v>0-0.5</v>
      </c>
    </row>
    <row r="262" spans="1:13" x14ac:dyDescent="0.3">
      <c r="A262" t="s">
        <v>1651</v>
      </c>
      <c r="B262" t="s">
        <v>1652</v>
      </c>
      <c r="C262">
        <v>7.9299999999999995E-2</v>
      </c>
      <c r="D262">
        <v>6.4999999999999997E-3</v>
      </c>
      <c r="E262">
        <v>1040000</v>
      </c>
      <c r="F262" t="s">
        <v>2065</v>
      </c>
      <c r="G262">
        <v>248070</v>
      </c>
      <c r="H262" t="s">
        <v>2193</v>
      </c>
      <c r="I262">
        <v>13180000</v>
      </c>
      <c r="J262" t="s">
        <v>1655</v>
      </c>
      <c r="K262">
        <f>Cleaned_data[[#This Row],[Volume (24h) USD $]]/Cleaned_data[[#This Row],[Curculating Supply $]]</f>
        <v>1.8821699544764797E-2</v>
      </c>
      <c r="L262">
        <f>RANK(Cleaned_data[[#This Row],[Market Cap $]],Cleaned_data[Market Cap $],0)</f>
        <v>260</v>
      </c>
      <c r="M262" t="str">
        <f t="shared" si="4"/>
        <v>0-0.5</v>
      </c>
    </row>
    <row r="263" spans="1:13" x14ac:dyDescent="0.3">
      <c r="A263" t="s">
        <v>1656</v>
      </c>
      <c r="B263" t="s">
        <v>1657</v>
      </c>
      <c r="C263">
        <v>1.4E-3</v>
      </c>
      <c r="D263">
        <v>1.3599999999999999E-2</v>
      </c>
      <c r="E263">
        <v>1030000</v>
      </c>
      <c r="F263" t="s">
        <v>2194</v>
      </c>
      <c r="G263">
        <v>168410</v>
      </c>
      <c r="H263" t="s">
        <v>2195</v>
      </c>
      <c r="I263">
        <v>718010000</v>
      </c>
      <c r="J263" t="s">
        <v>1662</v>
      </c>
      <c r="K263">
        <f>Cleaned_data[[#This Row],[Volume (24h) USD $]]/Cleaned_data[[#This Row],[Curculating Supply $]]</f>
        <v>2.3455105082101921E-4</v>
      </c>
      <c r="L263">
        <f>RANK(Cleaned_data[[#This Row],[Market Cap $]],Cleaned_data[Market Cap $],0)</f>
        <v>262</v>
      </c>
      <c r="M263" t="str">
        <f t="shared" si="4"/>
        <v>0-0.5</v>
      </c>
    </row>
    <row r="264" spans="1:13" x14ac:dyDescent="0.3">
      <c r="A264" t="s">
        <v>1663</v>
      </c>
      <c r="B264" t="s">
        <v>1664</v>
      </c>
      <c r="C264">
        <v>5.0000000000000001E-4</v>
      </c>
      <c r="D264">
        <v>2.8E-3</v>
      </c>
      <c r="E264">
        <v>1030000</v>
      </c>
      <c r="F264" t="s">
        <v>2194</v>
      </c>
      <c r="G264">
        <v>56280</v>
      </c>
      <c r="H264" t="s">
        <v>2196</v>
      </c>
      <c r="I264">
        <v>1970000000</v>
      </c>
      <c r="J264" t="s">
        <v>699</v>
      </c>
      <c r="K264">
        <f>Cleaned_data[[#This Row],[Volume (24h) USD $]]/Cleaned_data[[#This Row],[Curculating Supply $]]</f>
        <v>2.8568527918781727E-5</v>
      </c>
      <c r="L264">
        <f>RANK(Cleaned_data[[#This Row],[Market Cap $]],Cleaned_data[Market Cap $],0)</f>
        <v>262</v>
      </c>
      <c r="M264" t="str">
        <f t="shared" si="4"/>
        <v>0-0.5</v>
      </c>
    </row>
    <row r="265" spans="1:13" x14ac:dyDescent="0.3">
      <c r="A265" t="s">
        <v>1668</v>
      </c>
      <c r="B265" t="s">
        <v>1669</v>
      </c>
      <c r="C265">
        <v>1E-3</v>
      </c>
      <c r="D265">
        <v>7.4000000000000003E-3</v>
      </c>
      <c r="E265">
        <v>1030000</v>
      </c>
      <c r="F265" t="s">
        <v>2194</v>
      </c>
      <c r="G265">
        <v>11070</v>
      </c>
      <c r="H265" t="s">
        <v>2197</v>
      </c>
      <c r="I265">
        <v>999720000</v>
      </c>
      <c r="J265" t="s">
        <v>1672</v>
      </c>
      <c r="K265">
        <f>Cleaned_data[[#This Row],[Volume (24h) USD $]]/Cleaned_data[[#This Row],[Curculating Supply $]]</f>
        <v>1.1073100468131077E-5</v>
      </c>
      <c r="L265">
        <f>RANK(Cleaned_data[[#This Row],[Market Cap $]],Cleaned_data[Market Cap $],0)</f>
        <v>262</v>
      </c>
      <c r="M265" t="str">
        <f t="shared" si="4"/>
        <v>0-0.5</v>
      </c>
    </row>
    <row r="266" spans="1:13" x14ac:dyDescent="0.3">
      <c r="A266" t="s">
        <v>1683</v>
      </c>
      <c r="B266" t="s">
        <v>1684</v>
      </c>
      <c r="C266">
        <v>66.81</v>
      </c>
      <c r="D266">
        <v>2.3E-3</v>
      </c>
      <c r="E266">
        <v>878450</v>
      </c>
      <c r="F266" t="s">
        <v>2198</v>
      </c>
      <c r="G266">
        <v>1310000</v>
      </c>
      <c r="H266" t="s">
        <v>2088</v>
      </c>
      <c r="I266">
        <v>13140</v>
      </c>
      <c r="J266" t="s">
        <v>1687</v>
      </c>
      <c r="K266">
        <f>Cleaned_data[[#This Row],[Volume (24h) USD $]]/Cleaned_data[[#This Row],[Curculating Supply $]]</f>
        <v>99.695585996955856</v>
      </c>
      <c r="L266">
        <f>RANK(Cleaned_data[[#This Row],[Market Cap $]],Cleaned_data[Market Cap $],0)</f>
        <v>265</v>
      </c>
      <c r="M266" t="str">
        <f t="shared" si="4"/>
        <v>10-100</v>
      </c>
    </row>
    <row r="267" spans="1:13" x14ac:dyDescent="0.3">
      <c r="A267" t="s">
        <v>1692</v>
      </c>
      <c r="B267" t="s">
        <v>1693</v>
      </c>
      <c r="C267">
        <v>6.4000000000000003E-3</v>
      </c>
      <c r="D267">
        <v>1E-4</v>
      </c>
      <c r="E267">
        <v>876320</v>
      </c>
      <c r="F267" t="s">
        <v>2199</v>
      </c>
      <c r="G267">
        <v>1000</v>
      </c>
      <c r="H267" t="s">
        <v>2200</v>
      </c>
      <c r="I267">
        <v>135950000</v>
      </c>
      <c r="J267" t="s">
        <v>1696</v>
      </c>
      <c r="K267">
        <f>Cleaned_data[[#This Row],[Volume (24h) USD $]]/Cleaned_data[[#This Row],[Curculating Supply $]]</f>
        <v>7.3556454578889301E-6</v>
      </c>
      <c r="L267">
        <f>RANK(Cleaned_data[[#This Row],[Market Cap $]],Cleaned_data[Market Cap $],0)</f>
        <v>266</v>
      </c>
      <c r="M267" t="str">
        <f t="shared" si="4"/>
        <v>0-0.5</v>
      </c>
    </row>
    <row r="268" spans="1:13" x14ac:dyDescent="0.3">
      <c r="A268" t="s">
        <v>1697</v>
      </c>
      <c r="B268" t="s">
        <v>1698</v>
      </c>
      <c r="C268">
        <v>2.0000000000000001E-4</v>
      </c>
      <c r="D268">
        <v>3.2000000000000002E-3</v>
      </c>
      <c r="E268">
        <v>874500</v>
      </c>
      <c r="F268" t="s">
        <v>2201</v>
      </c>
      <c r="G268">
        <v>14290</v>
      </c>
      <c r="H268" t="s">
        <v>2202</v>
      </c>
      <c r="I268">
        <v>3650000000</v>
      </c>
      <c r="J268" t="s">
        <v>1702</v>
      </c>
      <c r="K268">
        <f>Cleaned_data[[#This Row],[Volume (24h) USD $]]/Cleaned_data[[#This Row],[Curculating Supply $]]</f>
        <v>3.9150684931506846E-6</v>
      </c>
      <c r="L268">
        <f>RANK(Cleaned_data[[#This Row],[Market Cap $]],Cleaned_data[Market Cap $],0)</f>
        <v>267</v>
      </c>
      <c r="M268" t="str">
        <f t="shared" si="4"/>
        <v>0-0.5</v>
      </c>
    </row>
    <row r="269" spans="1:13" x14ac:dyDescent="0.3">
      <c r="A269" t="s">
        <v>1703</v>
      </c>
      <c r="B269" t="s">
        <v>1704</v>
      </c>
      <c r="C269">
        <v>0.45860000000000001</v>
      </c>
      <c r="D269">
        <v>2.0000000000000001E-4</v>
      </c>
      <c r="E269">
        <v>871340</v>
      </c>
      <c r="F269" t="s">
        <v>2203</v>
      </c>
      <c r="G269">
        <v>90040</v>
      </c>
      <c r="H269" t="s">
        <v>2204</v>
      </c>
      <c r="I269">
        <v>1900000</v>
      </c>
      <c r="J269" t="s">
        <v>1708</v>
      </c>
      <c r="K269">
        <f>Cleaned_data[[#This Row],[Volume (24h) USD $]]/Cleaned_data[[#This Row],[Curculating Supply $]]</f>
        <v>4.7389473684210523E-2</v>
      </c>
      <c r="L269">
        <f>RANK(Cleaned_data[[#This Row],[Market Cap $]],Cleaned_data[Market Cap $],0)</f>
        <v>268</v>
      </c>
      <c r="M269" t="str">
        <f t="shared" si="4"/>
        <v>0-0.5</v>
      </c>
    </row>
    <row r="270" spans="1:13" x14ac:dyDescent="0.3">
      <c r="A270" t="s">
        <v>1709</v>
      </c>
      <c r="B270" t="s">
        <v>1710</v>
      </c>
      <c r="C270">
        <v>4.1999999999999997E-3</v>
      </c>
      <c r="D270">
        <v>0.13070000000000001</v>
      </c>
      <c r="E270">
        <v>870840</v>
      </c>
      <c r="F270" t="s">
        <v>2205</v>
      </c>
      <c r="G270">
        <v>1370</v>
      </c>
      <c r="H270" t="s">
        <v>2206</v>
      </c>
      <c r="I270">
        <v>208640000</v>
      </c>
      <c r="J270" t="s">
        <v>1715</v>
      </c>
      <c r="K270">
        <f>Cleaned_data[[#This Row],[Volume (24h) USD $]]/Cleaned_data[[#This Row],[Curculating Supply $]]</f>
        <v>6.5663343558282207E-6</v>
      </c>
      <c r="L270">
        <f>RANK(Cleaned_data[[#This Row],[Market Cap $]],Cleaned_data[Market Cap $],0)</f>
        <v>269</v>
      </c>
      <c r="M270" t="str">
        <f t="shared" si="4"/>
        <v>0-0.5</v>
      </c>
    </row>
    <row r="271" spans="1:13" x14ac:dyDescent="0.3">
      <c r="A271" t="s">
        <v>1716</v>
      </c>
      <c r="B271" t="s">
        <v>1717</v>
      </c>
      <c r="C271">
        <v>226.51</v>
      </c>
      <c r="D271">
        <v>6.4999999999999997E-3</v>
      </c>
      <c r="E271">
        <v>867340</v>
      </c>
      <c r="F271" t="s">
        <v>2207</v>
      </c>
      <c r="G271">
        <v>396120</v>
      </c>
      <c r="H271" t="s">
        <v>2208</v>
      </c>
      <c r="I271">
        <v>3820</v>
      </c>
      <c r="J271" t="s">
        <v>1721</v>
      </c>
      <c r="K271">
        <f>Cleaned_data[[#This Row],[Volume (24h) USD $]]/Cleaned_data[[#This Row],[Curculating Supply $]]</f>
        <v>103.69633507853403</v>
      </c>
      <c r="L271">
        <f>RANK(Cleaned_data[[#This Row],[Market Cap $]],Cleaned_data[Market Cap $],0)</f>
        <v>270</v>
      </c>
      <c r="M271" t="str">
        <f t="shared" si="4"/>
        <v>100-10000</v>
      </c>
    </row>
    <row r="272" spans="1:13" x14ac:dyDescent="0.3">
      <c r="A272" t="s">
        <v>1722</v>
      </c>
      <c r="B272" t="s">
        <v>1723</v>
      </c>
      <c r="C272">
        <v>1.78E-2</v>
      </c>
      <c r="D272">
        <v>4.0000000000000002E-4</v>
      </c>
      <c r="E272">
        <v>867080</v>
      </c>
      <c r="F272" t="s">
        <v>2209</v>
      </c>
      <c r="G272">
        <v>74250</v>
      </c>
      <c r="H272" t="s">
        <v>2210</v>
      </c>
      <c r="I272">
        <v>48600000</v>
      </c>
      <c r="J272" t="s">
        <v>1727</v>
      </c>
      <c r="K272">
        <f>Cleaned_data[[#This Row],[Volume (24h) USD $]]/Cleaned_data[[#This Row],[Curculating Supply $]]</f>
        <v>1.5277777777777779E-3</v>
      </c>
      <c r="L272">
        <f>RANK(Cleaned_data[[#This Row],[Market Cap $]],Cleaned_data[Market Cap $],0)</f>
        <v>271</v>
      </c>
      <c r="M272" t="str">
        <f t="shared" si="4"/>
        <v>0-0.5</v>
      </c>
    </row>
    <row r="273" spans="1:13" x14ac:dyDescent="0.3">
      <c r="A273" t="s">
        <v>1728</v>
      </c>
      <c r="B273" t="s">
        <v>1729</v>
      </c>
      <c r="C273">
        <v>6.4000000000000001E-2</v>
      </c>
      <c r="D273">
        <v>3.78E-2</v>
      </c>
      <c r="E273">
        <v>864210</v>
      </c>
      <c r="F273" t="s">
        <v>2211</v>
      </c>
      <c r="G273">
        <v>235260</v>
      </c>
      <c r="H273" t="s">
        <v>2212</v>
      </c>
      <c r="I273">
        <v>13500000</v>
      </c>
      <c r="J273" t="s">
        <v>1734</v>
      </c>
      <c r="K273">
        <f>Cleaned_data[[#This Row],[Volume (24h) USD $]]/Cleaned_data[[#This Row],[Curculating Supply $]]</f>
        <v>1.7426666666666667E-2</v>
      </c>
      <c r="L273">
        <f>RANK(Cleaned_data[[#This Row],[Market Cap $]],Cleaned_data[Market Cap $],0)</f>
        <v>274</v>
      </c>
      <c r="M273" t="str">
        <f t="shared" si="4"/>
        <v>0-0.5</v>
      </c>
    </row>
    <row r="274" spans="1:13" x14ac:dyDescent="0.3">
      <c r="A274" t="s">
        <v>1735</v>
      </c>
      <c r="B274" t="s">
        <v>1736</v>
      </c>
      <c r="C274">
        <v>6.8999999999999999E-3</v>
      </c>
      <c r="D274">
        <v>6.1000000000000004E-3</v>
      </c>
      <c r="E274">
        <v>865700</v>
      </c>
      <c r="F274" t="s">
        <v>2213</v>
      </c>
      <c r="G274">
        <v>77550</v>
      </c>
      <c r="H274" t="s">
        <v>2214</v>
      </c>
      <c r="I274">
        <v>126120000</v>
      </c>
      <c r="J274" t="s">
        <v>1740</v>
      </c>
      <c r="K274">
        <f>Cleaned_data[[#This Row],[Volume (24h) USD $]]/Cleaned_data[[#This Row],[Curculating Supply $]]</f>
        <v>6.1489058039961941E-4</v>
      </c>
      <c r="L274">
        <f>RANK(Cleaned_data[[#This Row],[Market Cap $]],Cleaned_data[Market Cap $],0)</f>
        <v>272</v>
      </c>
      <c r="M274" t="str">
        <f t="shared" si="4"/>
        <v>0-0.5</v>
      </c>
    </row>
    <row r="275" spans="1:13" x14ac:dyDescent="0.3">
      <c r="A275" t="s">
        <v>1741</v>
      </c>
      <c r="B275" t="s">
        <v>1742</v>
      </c>
      <c r="C275">
        <v>3.5000000000000001E-3</v>
      </c>
      <c r="D275">
        <v>4.1999999999999997E-3</v>
      </c>
      <c r="E275">
        <v>865210</v>
      </c>
      <c r="F275" t="s">
        <v>2215</v>
      </c>
      <c r="G275">
        <v>69250</v>
      </c>
      <c r="H275" t="s">
        <v>2216</v>
      </c>
      <c r="I275">
        <v>249890000</v>
      </c>
      <c r="J275" t="s">
        <v>1746</v>
      </c>
      <c r="K275">
        <f>Cleaned_data[[#This Row],[Volume (24h) USD $]]/Cleaned_data[[#This Row],[Curculating Supply $]]</f>
        <v>2.7712193365080637E-4</v>
      </c>
      <c r="L275">
        <f>RANK(Cleaned_data[[#This Row],[Market Cap $]],Cleaned_data[Market Cap $],0)</f>
        <v>273</v>
      </c>
      <c r="M275" t="str">
        <f t="shared" si="4"/>
        <v>0-0.5</v>
      </c>
    </row>
    <row r="276" spans="1:13" x14ac:dyDescent="0.3">
      <c r="A276" t="s">
        <v>1747</v>
      </c>
      <c r="B276" t="s">
        <v>1748</v>
      </c>
      <c r="C276">
        <v>728.28</v>
      </c>
      <c r="D276">
        <v>1.2999999999999999E-3</v>
      </c>
      <c r="E276">
        <v>863850</v>
      </c>
      <c r="F276" t="s">
        <v>2217</v>
      </c>
      <c r="G276">
        <v>2089999.9999999998</v>
      </c>
      <c r="H276" t="s">
        <v>2218</v>
      </c>
      <c r="I276">
        <v>1180</v>
      </c>
      <c r="J276" t="s">
        <v>1752</v>
      </c>
      <c r="K276">
        <f>Cleaned_data[[#This Row],[Volume (24h) USD $]]/Cleaned_data[[#This Row],[Curculating Supply $]]</f>
        <v>1771.1864406779659</v>
      </c>
      <c r="L276">
        <f>RANK(Cleaned_data[[#This Row],[Market Cap $]],Cleaned_data[Market Cap $],0)</f>
        <v>275</v>
      </c>
      <c r="M276" t="str">
        <f t="shared" si="4"/>
        <v>100-10000</v>
      </c>
    </row>
    <row r="277" spans="1:13" x14ac:dyDescent="0.3">
      <c r="A277" t="s">
        <v>1753</v>
      </c>
      <c r="B277" t="s">
        <v>1754</v>
      </c>
      <c r="C277">
        <v>152.80000000000001</v>
      </c>
      <c r="D277">
        <v>2.3999999999999998E-3</v>
      </c>
      <c r="E277">
        <v>859500</v>
      </c>
      <c r="F277" t="s">
        <v>2219</v>
      </c>
      <c r="G277">
        <v>559.89</v>
      </c>
      <c r="H277" t="s">
        <v>2220</v>
      </c>
      <c r="I277">
        <v>5620</v>
      </c>
      <c r="J277" t="s">
        <v>1758</v>
      </c>
      <c r="K277">
        <f>Cleaned_data[[#This Row],[Volume (24h) USD $]]/Cleaned_data[[#This Row],[Curculating Supply $]]</f>
        <v>9.9624555160142347E-2</v>
      </c>
      <c r="L277">
        <f>RANK(Cleaned_data[[#This Row],[Market Cap $]],Cleaned_data[Market Cap $],0)</f>
        <v>276</v>
      </c>
      <c r="M277" t="str">
        <f t="shared" si="4"/>
        <v>100-10000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5B6C-6366-49CD-9CEC-18E794BE9C96}">
  <dimension ref="A1:AB280"/>
  <sheetViews>
    <sheetView topLeftCell="A48" zoomScale="70" workbookViewId="0">
      <selection activeCell="A53" sqref="A53:B74"/>
    </sheetView>
  </sheetViews>
  <sheetFormatPr defaultRowHeight="14.4" x14ac:dyDescent="0.3"/>
  <cols>
    <col min="1" max="1" width="46.44140625" bestFit="1" customWidth="1"/>
    <col min="2" max="2" width="17.21875" bestFit="1" customWidth="1"/>
    <col min="3" max="3" width="11.109375" bestFit="1" customWidth="1"/>
    <col min="15" max="15" width="11.109375" customWidth="1"/>
    <col min="16" max="16" width="12.109375" bestFit="1" customWidth="1"/>
    <col min="17" max="17" width="11.109375" bestFit="1" customWidth="1"/>
    <col min="19" max="19" width="50.21875" bestFit="1" customWidth="1"/>
    <col min="20" max="20" width="19.44140625" bestFit="1" customWidth="1"/>
    <col min="22" max="22" width="23.5546875" customWidth="1"/>
    <col min="23" max="23" width="25.5546875" bestFit="1" customWidth="1"/>
  </cols>
  <sheetData>
    <row r="1" spans="1:28" x14ac:dyDescent="0.3">
      <c r="O1" t="s">
        <v>2224</v>
      </c>
      <c r="Q1">
        <f>GETPIVOTDATA("Market Cap $",$S$3)</f>
        <v>2084902144340</v>
      </c>
    </row>
    <row r="3" spans="1:28" x14ac:dyDescent="0.3">
      <c r="A3" s="1" t="s">
        <v>0</v>
      </c>
      <c r="B3" t="s">
        <v>2225</v>
      </c>
      <c r="O3" t="str">
        <f>S4</f>
        <v>Bitcoin</v>
      </c>
      <c r="P3">
        <f>GETPIVOTDATA("Market Cap $",$S$3,"Coin Name","Bitcoin")</f>
        <v>1290000000000</v>
      </c>
      <c r="S3" s="1" t="s">
        <v>0</v>
      </c>
      <c r="T3" t="s">
        <v>2228</v>
      </c>
      <c r="V3" t="s">
        <v>2230</v>
      </c>
      <c r="W3" t="s">
        <v>2228</v>
      </c>
    </row>
    <row r="4" spans="1:28" x14ac:dyDescent="0.3">
      <c r="A4" s="2" t="s">
        <v>14</v>
      </c>
      <c r="B4" s="6">
        <v>64381.26</v>
      </c>
      <c r="O4" t="str">
        <f t="shared" ref="O4:O7" si="0">S5</f>
        <v>Ethereum</v>
      </c>
      <c r="P4">
        <f>GETPIVOTDATA("Market Cap $",$S$3,"Coin Name","Ethereum")</f>
        <v>229890000000</v>
      </c>
      <c r="S4" s="2" t="s">
        <v>14</v>
      </c>
      <c r="T4" s="6">
        <v>1290000000000</v>
      </c>
      <c r="W4" s="6">
        <v>2084902144340</v>
      </c>
    </row>
    <row r="5" spans="1:28" x14ac:dyDescent="0.3">
      <c r="A5" s="2" t="s">
        <v>21</v>
      </c>
      <c r="B5" s="6">
        <v>1908.06</v>
      </c>
      <c r="O5" t="str">
        <f t="shared" si="0"/>
        <v>Tether</v>
      </c>
      <c r="P5">
        <f>GETPIVOTDATA("Market Cap $",$S$3,"Coin Name","Tether")</f>
        <v>183620000000</v>
      </c>
      <c r="S5" s="2" t="s">
        <v>21</v>
      </c>
      <c r="T5" s="6">
        <v>229890000000</v>
      </c>
      <c r="V5" t="s">
        <v>2231</v>
      </c>
    </row>
    <row r="6" spans="1:28" x14ac:dyDescent="0.3">
      <c r="A6" s="2" t="s">
        <v>992</v>
      </c>
      <c r="B6" s="6">
        <v>920.43</v>
      </c>
      <c r="O6" t="str">
        <f t="shared" si="0"/>
        <v>BNB</v>
      </c>
      <c r="P6">
        <f>GETPIVOTDATA("Market Cap $",$S$3,"Coin Name","BNB")</f>
        <v>78700000000</v>
      </c>
      <c r="S6" s="2" t="s">
        <v>28</v>
      </c>
      <c r="T6" s="6">
        <v>183620000000</v>
      </c>
      <c r="W6" t="s">
        <v>2236</v>
      </c>
    </row>
    <row r="7" spans="1:28" x14ac:dyDescent="0.3">
      <c r="A7" s="2" t="s">
        <v>842</v>
      </c>
      <c r="B7" s="6">
        <v>918.43</v>
      </c>
      <c r="O7" t="str">
        <f t="shared" si="0"/>
        <v>USDC</v>
      </c>
      <c r="P7">
        <f>GETPIVOTDATA("Market Cap $",$S$3,"Coin Name","USDC")</f>
        <v>71880000000</v>
      </c>
      <c r="S7" s="2" t="s">
        <v>35</v>
      </c>
      <c r="T7" s="6">
        <v>78700000000</v>
      </c>
      <c r="V7" t="s">
        <v>2232</v>
      </c>
      <c r="W7" s="6">
        <v>77993.525199999887</v>
      </c>
    </row>
    <row r="8" spans="1:28" x14ac:dyDescent="0.3">
      <c r="A8" s="2" t="s">
        <v>1747</v>
      </c>
      <c r="B8" s="6">
        <v>728.28</v>
      </c>
      <c r="O8" t="s">
        <v>2229</v>
      </c>
      <c r="P8">
        <f>Q1-SUM(P3:P7)</f>
        <v>230812144340</v>
      </c>
      <c r="S8" s="2" t="s">
        <v>41</v>
      </c>
      <c r="T8" s="6">
        <v>71880000000</v>
      </c>
    </row>
    <row r="9" spans="1:28" x14ac:dyDescent="0.3">
      <c r="A9" s="2" t="s">
        <v>641</v>
      </c>
      <c r="B9" s="6">
        <v>698.53</v>
      </c>
      <c r="S9" s="2" t="s">
        <v>47</v>
      </c>
      <c r="T9" s="6">
        <v>67610000000</v>
      </c>
      <c r="V9" t="s">
        <v>2233</v>
      </c>
      <c r="W9" t="s">
        <v>2237</v>
      </c>
    </row>
    <row r="10" spans="1:28" x14ac:dyDescent="0.3">
      <c r="A10" s="2" t="s">
        <v>35</v>
      </c>
      <c r="B10" s="6">
        <v>591.19000000000005</v>
      </c>
      <c r="S10" s="2" t="s">
        <v>53</v>
      </c>
      <c r="T10" s="6">
        <v>43050000000</v>
      </c>
      <c r="W10" s="6">
        <v>5474083662040400</v>
      </c>
    </row>
    <row r="11" spans="1:28" x14ac:dyDescent="0.3">
      <c r="A11" s="2" t="s">
        <v>1178</v>
      </c>
      <c r="B11" s="6">
        <v>581.11</v>
      </c>
      <c r="S11" s="2" t="s">
        <v>59</v>
      </c>
      <c r="T11" s="6">
        <v>31170000000</v>
      </c>
      <c r="V11" t="s">
        <v>2234</v>
      </c>
      <c r="W11" t="str">
        <f>A4</f>
        <v>Bitcoin</v>
      </c>
    </row>
    <row r="12" spans="1:28" x14ac:dyDescent="0.3">
      <c r="A12" s="2" t="s">
        <v>1494</v>
      </c>
      <c r="B12" s="6">
        <v>568.13</v>
      </c>
      <c r="S12" s="2" t="s">
        <v>65</v>
      </c>
      <c r="T12" s="6">
        <v>14020000000</v>
      </c>
    </row>
    <row r="13" spans="1:28" x14ac:dyDescent="0.3">
      <c r="A13" s="2" t="s">
        <v>1359</v>
      </c>
      <c r="B13" s="6">
        <v>549.42999999999995</v>
      </c>
      <c r="S13" s="2" t="s">
        <v>72</v>
      </c>
      <c r="T13" s="6">
        <v>10880000000</v>
      </c>
      <c r="V13" t="s">
        <v>2235</v>
      </c>
      <c r="W13">
        <f>B4</f>
        <v>64381.26</v>
      </c>
    </row>
    <row r="14" spans="1:28" x14ac:dyDescent="0.3">
      <c r="A14" s="2" t="s">
        <v>2224</v>
      </c>
      <c r="B14" s="6">
        <v>71844.849999999991</v>
      </c>
      <c r="S14" s="2" t="s">
        <v>205</v>
      </c>
      <c r="T14" s="6">
        <v>9120000000</v>
      </c>
      <c r="AB14" s="3"/>
    </row>
    <row r="15" spans="1:28" x14ac:dyDescent="0.3">
      <c r="S15" s="2" t="s">
        <v>79</v>
      </c>
      <c r="T15" s="6">
        <v>8990000000</v>
      </c>
    </row>
    <row r="16" spans="1:28" x14ac:dyDescent="0.3">
      <c r="S16" s="2" t="s">
        <v>212</v>
      </c>
      <c r="T16" s="6">
        <v>8289999999.999999</v>
      </c>
    </row>
    <row r="17" spans="1:20" x14ac:dyDescent="0.3">
      <c r="A17" s="1" t="s">
        <v>0</v>
      </c>
      <c r="B17" t="s">
        <v>2226</v>
      </c>
      <c r="S17" s="2" t="s">
        <v>85</v>
      </c>
      <c r="T17" s="6">
        <v>7750000000</v>
      </c>
    </row>
    <row r="18" spans="1:20" x14ac:dyDescent="0.3">
      <c r="A18" s="2" t="s">
        <v>313</v>
      </c>
      <c r="B18" s="6">
        <v>5.8500000000000003E-2</v>
      </c>
      <c r="S18" s="2" t="s">
        <v>92</v>
      </c>
      <c r="T18" s="6">
        <v>6640000000</v>
      </c>
    </row>
    <row r="19" spans="1:20" x14ac:dyDescent="0.3">
      <c r="A19" s="2" t="s">
        <v>1728</v>
      </c>
      <c r="B19" s="6">
        <v>3.78E-2</v>
      </c>
      <c r="S19" s="2" t="s">
        <v>99</v>
      </c>
      <c r="T19" s="6">
        <v>6250000000</v>
      </c>
    </row>
    <row r="20" spans="1:20" x14ac:dyDescent="0.3">
      <c r="A20" s="2" t="s">
        <v>1312</v>
      </c>
      <c r="B20" s="6">
        <v>3.9100000000000003E-2</v>
      </c>
      <c r="S20" s="2" t="s">
        <v>218</v>
      </c>
      <c r="T20" s="6">
        <v>2150000000</v>
      </c>
    </row>
    <row r="21" spans="1:20" x14ac:dyDescent="0.3">
      <c r="A21" s="2" t="s">
        <v>1198</v>
      </c>
      <c r="B21" s="6">
        <v>3.3099999999999997E-2</v>
      </c>
      <c r="S21" s="2" t="s">
        <v>223</v>
      </c>
      <c r="T21" s="6">
        <v>1610000000</v>
      </c>
    </row>
    <row r="22" spans="1:20" x14ac:dyDescent="0.3">
      <c r="A22" s="2" t="s">
        <v>1393</v>
      </c>
      <c r="B22" s="6">
        <v>3.85E-2</v>
      </c>
      <c r="S22" s="2" t="s">
        <v>229</v>
      </c>
      <c r="T22" s="6">
        <v>1250000000</v>
      </c>
    </row>
    <row r="23" spans="1:20" x14ac:dyDescent="0.3">
      <c r="A23" s="2" t="s">
        <v>1709</v>
      </c>
      <c r="B23" s="6">
        <v>0.13070000000000001</v>
      </c>
      <c r="S23" s="2" t="s">
        <v>235</v>
      </c>
      <c r="T23" s="6">
        <v>1100000000</v>
      </c>
    </row>
    <row r="24" spans="1:20" x14ac:dyDescent="0.3">
      <c r="A24" s="2" t="s">
        <v>372</v>
      </c>
      <c r="B24" s="6">
        <v>3.8699999999999998E-2</v>
      </c>
      <c r="S24" s="2" t="s">
        <v>240</v>
      </c>
      <c r="T24" s="6">
        <v>872040000</v>
      </c>
    </row>
    <row r="25" spans="1:20" x14ac:dyDescent="0.3">
      <c r="A25" s="2" t="s">
        <v>694</v>
      </c>
      <c r="B25" s="6">
        <v>0.1012</v>
      </c>
      <c r="S25" s="2" t="s">
        <v>246</v>
      </c>
      <c r="T25" s="6">
        <v>808540000</v>
      </c>
    </row>
    <row r="26" spans="1:20" x14ac:dyDescent="0.3">
      <c r="A26" s="2" t="s">
        <v>1621</v>
      </c>
      <c r="B26" s="6">
        <v>3.4200000000000001E-2</v>
      </c>
      <c r="S26" s="2" t="s">
        <v>253</v>
      </c>
      <c r="T26" s="6">
        <v>650920000</v>
      </c>
    </row>
    <row r="27" spans="1:20" x14ac:dyDescent="0.3">
      <c r="A27" s="2" t="s">
        <v>1322</v>
      </c>
      <c r="B27" s="6">
        <v>2.2599999999999999E-2</v>
      </c>
      <c r="S27" s="2" t="s">
        <v>260</v>
      </c>
      <c r="T27" s="6">
        <v>647930000</v>
      </c>
    </row>
    <row r="28" spans="1:20" x14ac:dyDescent="0.3">
      <c r="A28" s="2" t="s">
        <v>2224</v>
      </c>
      <c r="B28" s="6">
        <v>0.53439999999999999</v>
      </c>
      <c r="S28" s="2" t="s">
        <v>271</v>
      </c>
      <c r="T28" s="6">
        <v>524710000.00000006</v>
      </c>
    </row>
    <row r="29" spans="1:20" x14ac:dyDescent="0.3">
      <c r="S29" s="2" t="s">
        <v>282</v>
      </c>
      <c r="T29" s="6">
        <v>404580000</v>
      </c>
    </row>
    <row r="30" spans="1:20" x14ac:dyDescent="0.3">
      <c r="S30" s="2" t="s">
        <v>106</v>
      </c>
      <c r="T30" s="6">
        <v>276990000</v>
      </c>
    </row>
    <row r="31" spans="1:20" x14ac:dyDescent="0.3">
      <c r="S31" s="2" t="s">
        <v>112</v>
      </c>
      <c r="T31" s="6">
        <v>266790000.00000003</v>
      </c>
    </row>
    <row r="32" spans="1:20" x14ac:dyDescent="0.3">
      <c r="S32" s="2" t="s">
        <v>289</v>
      </c>
      <c r="T32" s="6">
        <v>266070000</v>
      </c>
    </row>
    <row r="33" spans="1:20" x14ac:dyDescent="0.3">
      <c r="S33" s="2" t="s">
        <v>119</v>
      </c>
      <c r="T33" s="6">
        <v>263980000.00000003</v>
      </c>
    </row>
    <row r="34" spans="1:20" x14ac:dyDescent="0.3">
      <c r="S34" s="2" t="s">
        <v>126</v>
      </c>
      <c r="T34" s="6">
        <v>258459999.99999997</v>
      </c>
    </row>
    <row r="35" spans="1:20" x14ac:dyDescent="0.3">
      <c r="A35" s="1" t="s">
        <v>0</v>
      </c>
      <c r="B35" t="s">
        <v>2227</v>
      </c>
      <c r="C35" t="s">
        <v>2225</v>
      </c>
      <c r="S35" s="2" t="s">
        <v>133</v>
      </c>
      <c r="T35" s="6">
        <v>257899999.99999997</v>
      </c>
    </row>
    <row r="36" spans="1:20" x14ac:dyDescent="0.3">
      <c r="A36" s="2" t="s">
        <v>1217</v>
      </c>
      <c r="B36" s="6">
        <v>1503.2558139534883</v>
      </c>
      <c r="C36" s="6">
        <v>311.89999999999998</v>
      </c>
      <c r="S36" s="2" t="s">
        <v>140</v>
      </c>
      <c r="T36" s="6">
        <v>251190000</v>
      </c>
    </row>
    <row r="37" spans="1:20" x14ac:dyDescent="0.3">
      <c r="A37" s="2" t="s">
        <v>14</v>
      </c>
      <c r="B37" s="6">
        <v>1333.9980059820539</v>
      </c>
      <c r="C37" s="6">
        <v>64381.26</v>
      </c>
      <c r="S37" s="2" t="s">
        <v>146</v>
      </c>
      <c r="T37" s="6">
        <v>250730000</v>
      </c>
    </row>
    <row r="38" spans="1:20" x14ac:dyDescent="0.3">
      <c r="A38" s="2" t="s">
        <v>560</v>
      </c>
      <c r="B38" s="6">
        <v>258.43307943416755</v>
      </c>
      <c r="C38" s="6">
        <v>167.84</v>
      </c>
      <c r="S38" s="2" t="s">
        <v>151</v>
      </c>
      <c r="T38" s="6">
        <v>250430000</v>
      </c>
    </row>
    <row r="39" spans="1:20" x14ac:dyDescent="0.3">
      <c r="A39" s="2" t="s">
        <v>1606</v>
      </c>
      <c r="B39" s="6">
        <v>914.7869674185464</v>
      </c>
      <c r="C39" s="6">
        <v>270.05</v>
      </c>
      <c r="S39" s="2" t="s">
        <v>158</v>
      </c>
      <c r="T39" s="6">
        <v>250230000</v>
      </c>
    </row>
    <row r="40" spans="1:20" x14ac:dyDescent="0.3">
      <c r="A40" s="2" t="s">
        <v>992</v>
      </c>
      <c r="B40" s="6">
        <v>783.26996197718631</v>
      </c>
      <c r="C40" s="6">
        <v>920.43</v>
      </c>
      <c r="S40" s="2" t="s">
        <v>165</v>
      </c>
      <c r="T40" s="6">
        <v>244250000</v>
      </c>
    </row>
    <row r="41" spans="1:20" x14ac:dyDescent="0.3">
      <c r="A41" s="2" t="s">
        <v>842</v>
      </c>
      <c r="B41" s="6">
        <v>1053.5433070866143</v>
      </c>
      <c r="C41" s="6">
        <v>918.43</v>
      </c>
      <c r="S41" s="2" t="s">
        <v>172</v>
      </c>
      <c r="T41" s="6">
        <v>239580000</v>
      </c>
    </row>
    <row r="42" spans="1:20" x14ac:dyDescent="0.3">
      <c r="A42" s="2" t="s">
        <v>1436</v>
      </c>
      <c r="B42" s="6">
        <v>628.11791383219952</v>
      </c>
      <c r="C42" s="6">
        <v>446.65</v>
      </c>
      <c r="S42" s="2" t="s">
        <v>179</v>
      </c>
      <c r="T42" s="6">
        <v>239470000</v>
      </c>
    </row>
    <row r="43" spans="1:20" x14ac:dyDescent="0.3">
      <c r="A43" s="2" t="s">
        <v>1747</v>
      </c>
      <c r="B43" s="6">
        <v>1771.1864406779659</v>
      </c>
      <c r="C43" s="6">
        <v>728.28</v>
      </c>
      <c r="S43" s="2" t="s">
        <v>186</v>
      </c>
      <c r="T43" s="6">
        <v>222830000</v>
      </c>
    </row>
    <row r="44" spans="1:20" x14ac:dyDescent="0.3">
      <c r="A44" s="2" t="s">
        <v>973</v>
      </c>
      <c r="B44" s="6">
        <v>215.74664614031229</v>
      </c>
      <c r="C44" s="6">
        <v>161.38</v>
      </c>
      <c r="S44" s="2" t="s">
        <v>192</v>
      </c>
      <c r="T44" s="6">
        <v>215370000</v>
      </c>
    </row>
    <row r="45" spans="1:20" x14ac:dyDescent="0.3">
      <c r="A45" s="2" t="s">
        <v>1494</v>
      </c>
      <c r="B45" s="6">
        <v>985.50724637681162</v>
      </c>
      <c r="C45" s="6">
        <v>568.13</v>
      </c>
      <c r="S45" s="2" t="s">
        <v>199</v>
      </c>
      <c r="T45" s="6">
        <v>215040000</v>
      </c>
    </row>
    <row r="46" spans="1:20" x14ac:dyDescent="0.3">
      <c r="A46" s="2" t="s">
        <v>2224</v>
      </c>
      <c r="B46" s="6">
        <v>9447.8453828793463</v>
      </c>
      <c r="C46" s="6">
        <v>68874.349999999991</v>
      </c>
      <c r="S46" s="2" t="s">
        <v>295</v>
      </c>
      <c r="T46" s="6">
        <v>58550000</v>
      </c>
    </row>
    <row r="47" spans="1:20" x14ac:dyDescent="0.3">
      <c r="S47" s="2" t="s">
        <v>301</v>
      </c>
      <c r="T47" s="6">
        <v>58470000</v>
      </c>
    </row>
    <row r="48" spans="1:20" x14ac:dyDescent="0.3">
      <c r="S48" s="2" t="s">
        <v>307</v>
      </c>
      <c r="T48" s="6">
        <v>58370000</v>
      </c>
    </row>
    <row r="49" spans="1:20" x14ac:dyDescent="0.3">
      <c r="S49" s="2" t="s">
        <v>313</v>
      </c>
      <c r="T49" s="6">
        <v>57850000</v>
      </c>
    </row>
    <row r="50" spans="1:20" x14ac:dyDescent="0.3">
      <c r="S50" s="2" t="s">
        <v>320</v>
      </c>
      <c r="T50" s="6">
        <v>57060000</v>
      </c>
    </row>
    <row r="51" spans="1:20" x14ac:dyDescent="0.3">
      <c r="S51" s="2" t="s">
        <v>327</v>
      </c>
      <c r="T51" s="6">
        <v>56950000</v>
      </c>
    </row>
    <row r="52" spans="1:20" x14ac:dyDescent="0.3">
      <c r="S52" s="2" t="s">
        <v>334</v>
      </c>
      <c r="T52" s="6">
        <v>56900000</v>
      </c>
    </row>
    <row r="53" spans="1:20" x14ac:dyDescent="0.3">
      <c r="A53" s="1" t="s">
        <v>0</v>
      </c>
      <c r="B53" t="s">
        <v>2236</v>
      </c>
      <c r="S53" s="2" t="s">
        <v>340</v>
      </c>
      <c r="T53" s="6">
        <v>56690000</v>
      </c>
    </row>
    <row r="54" spans="1:20" x14ac:dyDescent="0.3">
      <c r="A54" s="2" t="s">
        <v>14</v>
      </c>
      <c r="B54" s="6">
        <v>64381.26</v>
      </c>
      <c r="S54" s="2" t="s">
        <v>347</v>
      </c>
      <c r="T54" s="6">
        <v>55990000</v>
      </c>
    </row>
    <row r="55" spans="1:20" x14ac:dyDescent="0.3">
      <c r="A55" s="4" t="s">
        <v>15</v>
      </c>
      <c r="B55" s="6">
        <v>64381.26</v>
      </c>
      <c r="S55" s="2" t="s">
        <v>354</v>
      </c>
      <c r="T55" s="6">
        <v>55420000</v>
      </c>
    </row>
    <row r="56" spans="1:20" x14ac:dyDescent="0.3">
      <c r="A56" s="2" t="s">
        <v>21</v>
      </c>
      <c r="B56" s="6">
        <v>1908.06</v>
      </c>
      <c r="S56" s="2" t="s">
        <v>360</v>
      </c>
      <c r="T56" s="6">
        <v>55380000</v>
      </c>
    </row>
    <row r="57" spans="1:20" x14ac:dyDescent="0.3">
      <c r="A57" s="4" t="s">
        <v>22</v>
      </c>
      <c r="B57" s="6">
        <v>1908.06</v>
      </c>
      <c r="S57" s="2" t="s">
        <v>365</v>
      </c>
      <c r="T57" s="6">
        <v>54380000</v>
      </c>
    </row>
    <row r="58" spans="1:20" x14ac:dyDescent="0.3">
      <c r="A58" s="2" t="s">
        <v>992</v>
      </c>
      <c r="B58" s="6">
        <v>920.43</v>
      </c>
      <c r="S58" s="2" t="s">
        <v>379</v>
      </c>
      <c r="T58" s="6">
        <v>54120000</v>
      </c>
    </row>
    <row r="59" spans="1:20" x14ac:dyDescent="0.3">
      <c r="A59" s="4" t="s">
        <v>993</v>
      </c>
      <c r="B59" s="6">
        <v>920.43</v>
      </c>
      <c r="S59" s="2" t="s">
        <v>372</v>
      </c>
      <c r="T59" s="6">
        <v>54090000</v>
      </c>
    </row>
    <row r="60" spans="1:20" x14ac:dyDescent="0.3">
      <c r="A60" s="2" t="s">
        <v>842</v>
      </c>
      <c r="B60" s="6">
        <v>918.43</v>
      </c>
      <c r="S60" s="2" t="s">
        <v>385</v>
      </c>
      <c r="T60" s="6">
        <v>54000000</v>
      </c>
    </row>
    <row r="61" spans="1:20" x14ac:dyDescent="0.3">
      <c r="A61" s="4" t="s">
        <v>843</v>
      </c>
      <c r="B61" s="6">
        <v>918.43</v>
      </c>
      <c r="S61" s="2" t="s">
        <v>391</v>
      </c>
      <c r="T61" s="6">
        <v>39040000</v>
      </c>
    </row>
    <row r="62" spans="1:20" x14ac:dyDescent="0.3">
      <c r="A62" s="2" t="s">
        <v>1747</v>
      </c>
      <c r="B62" s="6">
        <v>728.28</v>
      </c>
      <c r="S62" s="2" t="s">
        <v>397</v>
      </c>
      <c r="T62" s="6">
        <v>39010000</v>
      </c>
    </row>
    <row r="63" spans="1:20" x14ac:dyDescent="0.3">
      <c r="A63" s="4" t="s">
        <v>1748</v>
      </c>
      <c r="B63" s="6">
        <v>728.28</v>
      </c>
      <c r="S63" s="2" t="s">
        <v>403</v>
      </c>
      <c r="T63" s="6">
        <v>38950000</v>
      </c>
    </row>
    <row r="64" spans="1:20" x14ac:dyDescent="0.3">
      <c r="A64" s="2" t="s">
        <v>641</v>
      </c>
      <c r="B64" s="6">
        <v>698.53</v>
      </c>
      <c r="S64" s="2" t="s">
        <v>409</v>
      </c>
      <c r="T64" s="6">
        <v>38890000</v>
      </c>
    </row>
    <row r="65" spans="1:20" x14ac:dyDescent="0.3">
      <c r="A65" s="4" t="s">
        <v>642</v>
      </c>
      <c r="B65" s="6">
        <v>698.53</v>
      </c>
      <c r="S65" s="2" t="s">
        <v>416</v>
      </c>
      <c r="T65" s="6">
        <v>38770000</v>
      </c>
    </row>
    <row r="66" spans="1:20" x14ac:dyDescent="0.3">
      <c r="A66" s="2" t="s">
        <v>35</v>
      </c>
      <c r="B66" s="6">
        <v>591.19000000000005</v>
      </c>
      <c r="S66" s="2" t="s">
        <v>423</v>
      </c>
      <c r="T66" s="6">
        <v>38620000</v>
      </c>
    </row>
    <row r="67" spans="1:20" x14ac:dyDescent="0.3">
      <c r="A67" s="4" t="s">
        <v>35</v>
      </c>
      <c r="B67" s="6">
        <v>591.19000000000005</v>
      </c>
      <c r="S67" s="2" t="s">
        <v>429</v>
      </c>
      <c r="T67" s="6">
        <v>38580000</v>
      </c>
    </row>
    <row r="68" spans="1:20" x14ac:dyDescent="0.3">
      <c r="A68" s="2" t="s">
        <v>1178</v>
      </c>
      <c r="B68" s="6">
        <v>581.11</v>
      </c>
      <c r="S68" s="2" t="s">
        <v>435</v>
      </c>
      <c r="T68" s="6">
        <v>38290000</v>
      </c>
    </row>
    <row r="69" spans="1:20" x14ac:dyDescent="0.3">
      <c r="A69" s="4" t="s">
        <v>1179</v>
      </c>
      <c r="B69" s="6">
        <v>581.11</v>
      </c>
      <c r="S69" s="2" t="s">
        <v>442</v>
      </c>
      <c r="T69" s="6">
        <v>38250000</v>
      </c>
    </row>
    <row r="70" spans="1:20" x14ac:dyDescent="0.3">
      <c r="A70" s="2" t="s">
        <v>1494</v>
      </c>
      <c r="B70" s="6">
        <v>568.13</v>
      </c>
      <c r="S70" s="2" t="s">
        <v>448</v>
      </c>
      <c r="T70" s="6">
        <v>37920000</v>
      </c>
    </row>
    <row r="71" spans="1:20" x14ac:dyDescent="0.3">
      <c r="A71" s="4" t="s">
        <v>1495</v>
      </c>
      <c r="B71" s="6">
        <v>568.13</v>
      </c>
      <c r="S71" s="2" t="s">
        <v>454</v>
      </c>
      <c r="T71" s="6">
        <v>37870000</v>
      </c>
    </row>
    <row r="72" spans="1:20" x14ac:dyDescent="0.3">
      <c r="A72" s="2" t="s">
        <v>1359</v>
      </c>
      <c r="B72" s="6">
        <v>549.42999999999995</v>
      </c>
      <c r="S72" s="2" t="s">
        <v>467</v>
      </c>
      <c r="T72" s="6">
        <v>37840000</v>
      </c>
    </row>
    <row r="73" spans="1:20" x14ac:dyDescent="0.3">
      <c r="A73" s="4" t="s">
        <v>1360</v>
      </c>
      <c r="B73" s="6">
        <v>549.42999999999995</v>
      </c>
      <c r="S73" s="2" t="s">
        <v>461</v>
      </c>
      <c r="T73" s="6">
        <v>37840000</v>
      </c>
    </row>
    <row r="74" spans="1:20" x14ac:dyDescent="0.3">
      <c r="A74" s="2" t="s">
        <v>2224</v>
      </c>
      <c r="B74" s="6">
        <v>71844.850000000006</v>
      </c>
      <c r="S74" s="2" t="s">
        <v>470</v>
      </c>
      <c r="T74" s="6">
        <v>37740000</v>
      </c>
    </row>
    <row r="75" spans="1:20" x14ac:dyDescent="0.3">
      <c r="S75" s="2" t="s">
        <v>476</v>
      </c>
      <c r="T75" s="6">
        <v>37470000</v>
      </c>
    </row>
    <row r="76" spans="1:20" x14ac:dyDescent="0.3">
      <c r="S76" s="2" t="s">
        <v>483</v>
      </c>
      <c r="T76" s="6">
        <v>28630000</v>
      </c>
    </row>
    <row r="77" spans="1:20" x14ac:dyDescent="0.3">
      <c r="S77" s="2" t="s">
        <v>494</v>
      </c>
      <c r="T77" s="6">
        <v>28540000</v>
      </c>
    </row>
    <row r="78" spans="1:20" x14ac:dyDescent="0.3">
      <c r="S78" s="2" t="s">
        <v>501</v>
      </c>
      <c r="T78" s="6">
        <v>28470000</v>
      </c>
    </row>
    <row r="79" spans="1:20" x14ac:dyDescent="0.3">
      <c r="S79" s="2" t="s">
        <v>508</v>
      </c>
      <c r="T79" s="6">
        <v>28350000</v>
      </c>
    </row>
    <row r="80" spans="1:20" x14ac:dyDescent="0.3">
      <c r="S80" s="2" t="s">
        <v>515</v>
      </c>
      <c r="T80" s="6">
        <v>28310000</v>
      </c>
    </row>
    <row r="81" spans="19:20" x14ac:dyDescent="0.3">
      <c r="S81" s="2" t="s">
        <v>521</v>
      </c>
      <c r="T81" s="6">
        <v>28240000</v>
      </c>
    </row>
    <row r="82" spans="19:20" x14ac:dyDescent="0.3">
      <c r="S82" s="2" t="s">
        <v>528</v>
      </c>
      <c r="T82" s="6">
        <v>28050000</v>
      </c>
    </row>
    <row r="83" spans="19:20" x14ac:dyDescent="0.3">
      <c r="S83" s="2" t="s">
        <v>535</v>
      </c>
      <c r="T83" s="6">
        <v>28000000</v>
      </c>
    </row>
    <row r="84" spans="19:20" x14ac:dyDescent="0.3">
      <c r="S84" s="2" t="s">
        <v>540</v>
      </c>
      <c r="T84" s="6">
        <v>27980000</v>
      </c>
    </row>
    <row r="85" spans="19:20" x14ac:dyDescent="0.3">
      <c r="S85" s="2" t="s">
        <v>547</v>
      </c>
      <c r="T85" s="6">
        <v>27800000</v>
      </c>
    </row>
    <row r="86" spans="19:20" x14ac:dyDescent="0.3">
      <c r="S86" s="2" t="s">
        <v>554</v>
      </c>
      <c r="T86" s="6">
        <v>27790000</v>
      </c>
    </row>
    <row r="87" spans="19:20" x14ac:dyDescent="0.3">
      <c r="S87" s="2" t="s">
        <v>560</v>
      </c>
      <c r="T87" s="6">
        <v>27760000</v>
      </c>
    </row>
    <row r="88" spans="19:20" x14ac:dyDescent="0.3">
      <c r="S88" s="2" t="s">
        <v>567</v>
      </c>
      <c r="T88" s="6">
        <v>27700000</v>
      </c>
    </row>
    <row r="89" spans="19:20" x14ac:dyDescent="0.3">
      <c r="S89" s="2" t="s">
        <v>573</v>
      </c>
      <c r="T89" s="6">
        <v>27600000</v>
      </c>
    </row>
    <row r="90" spans="19:20" x14ac:dyDescent="0.3">
      <c r="S90" s="2" t="s">
        <v>579</v>
      </c>
      <c r="T90" s="6">
        <v>20940000</v>
      </c>
    </row>
    <row r="91" spans="19:20" x14ac:dyDescent="0.3">
      <c r="S91" s="2" t="s">
        <v>585</v>
      </c>
      <c r="T91" s="6">
        <v>20900000</v>
      </c>
    </row>
    <row r="92" spans="19:20" x14ac:dyDescent="0.3">
      <c r="S92" s="2" t="s">
        <v>590</v>
      </c>
      <c r="T92" s="6">
        <v>20850000</v>
      </c>
    </row>
    <row r="93" spans="19:20" x14ac:dyDescent="0.3">
      <c r="S93" s="2" t="s">
        <v>596</v>
      </c>
      <c r="T93" s="6">
        <v>20840000</v>
      </c>
    </row>
    <row r="94" spans="19:20" x14ac:dyDescent="0.3">
      <c r="S94" s="2" t="s">
        <v>602</v>
      </c>
      <c r="T94" s="6">
        <v>20730000</v>
      </c>
    </row>
    <row r="95" spans="19:20" x14ac:dyDescent="0.3">
      <c r="S95" s="2" t="s">
        <v>609</v>
      </c>
      <c r="T95" s="6">
        <v>20720000</v>
      </c>
    </row>
    <row r="96" spans="19:20" x14ac:dyDescent="0.3">
      <c r="S96" s="2" t="s">
        <v>616</v>
      </c>
      <c r="T96" s="6">
        <v>20630000</v>
      </c>
    </row>
    <row r="97" spans="19:20" x14ac:dyDescent="0.3">
      <c r="S97" s="2" t="s">
        <v>623</v>
      </c>
      <c r="T97" s="6">
        <v>20450000</v>
      </c>
    </row>
    <row r="98" spans="19:20" x14ac:dyDescent="0.3">
      <c r="S98" s="2" t="s">
        <v>630</v>
      </c>
      <c r="T98" s="6">
        <v>20430000</v>
      </c>
    </row>
    <row r="99" spans="19:20" x14ac:dyDescent="0.3">
      <c r="S99" s="2" t="s">
        <v>635</v>
      </c>
      <c r="T99" s="6">
        <v>20330000</v>
      </c>
    </row>
    <row r="100" spans="19:20" x14ac:dyDescent="0.3">
      <c r="S100" s="2" t="s">
        <v>641</v>
      </c>
      <c r="T100" s="6">
        <v>20310000</v>
      </c>
    </row>
    <row r="101" spans="19:20" x14ac:dyDescent="0.3">
      <c r="S101" s="2" t="s">
        <v>647</v>
      </c>
      <c r="T101" s="6">
        <v>20310000</v>
      </c>
    </row>
    <row r="102" spans="19:20" x14ac:dyDescent="0.3">
      <c r="S102" s="2" t="s">
        <v>653</v>
      </c>
      <c r="T102" s="6">
        <v>20280000</v>
      </c>
    </row>
    <row r="103" spans="19:20" x14ac:dyDescent="0.3">
      <c r="S103" s="2" t="s">
        <v>659</v>
      </c>
      <c r="T103" s="6">
        <v>20260000</v>
      </c>
    </row>
    <row r="104" spans="19:20" x14ac:dyDescent="0.3">
      <c r="S104" s="2" t="s">
        <v>666</v>
      </c>
      <c r="T104" s="6">
        <v>20140000</v>
      </c>
    </row>
    <row r="105" spans="19:20" x14ac:dyDescent="0.3">
      <c r="S105" s="2" t="s">
        <v>672</v>
      </c>
      <c r="T105" s="6">
        <v>16140000</v>
      </c>
    </row>
    <row r="106" spans="19:20" x14ac:dyDescent="0.3">
      <c r="S106" s="2" t="s">
        <v>678</v>
      </c>
      <c r="T106" s="6">
        <v>16020000</v>
      </c>
    </row>
    <row r="107" spans="19:20" x14ac:dyDescent="0.3">
      <c r="S107" s="2" t="s">
        <v>684</v>
      </c>
      <c r="T107" s="6">
        <v>16020000</v>
      </c>
    </row>
    <row r="108" spans="19:20" x14ac:dyDescent="0.3">
      <c r="S108" s="2" t="s">
        <v>689</v>
      </c>
      <c r="T108" s="6">
        <v>16020000</v>
      </c>
    </row>
    <row r="109" spans="19:20" x14ac:dyDescent="0.3">
      <c r="S109" s="2" t="s">
        <v>694</v>
      </c>
      <c r="T109" s="6">
        <v>15970000</v>
      </c>
    </row>
    <row r="110" spans="19:20" x14ac:dyDescent="0.3">
      <c r="S110" s="2" t="s">
        <v>700</v>
      </c>
      <c r="T110" s="6">
        <v>15950000</v>
      </c>
    </row>
    <row r="111" spans="19:20" x14ac:dyDescent="0.3">
      <c r="S111" s="2" t="s">
        <v>706</v>
      </c>
      <c r="T111" s="6">
        <v>15930000</v>
      </c>
    </row>
    <row r="112" spans="19:20" x14ac:dyDescent="0.3">
      <c r="S112" s="2" t="s">
        <v>712</v>
      </c>
      <c r="T112" s="6">
        <v>15890000</v>
      </c>
    </row>
    <row r="113" spans="19:20" x14ac:dyDescent="0.3">
      <c r="S113" s="2" t="s">
        <v>719</v>
      </c>
      <c r="T113" s="6">
        <v>15880000</v>
      </c>
    </row>
    <row r="114" spans="19:20" x14ac:dyDescent="0.3">
      <c r="S114" s="2" t="s">
        <v>726</v>
      </c>
      <c r="T114" s="6">
        <v>15870000</v>
      </c>
    </row>
    <row r="115" spans="19:20" x14ac:dyDescent="0.3">
      <c r="S115" s="2" t="s">
        <v>733</v>
      </c>
      <c r="T115" s="6">
        <v>15810000</v>
      </c>
    </row>
    <row r="116" spans="19:20" x14ac:dyDescent="0.3">
      <c r="S116" s="2" t="s">
        <v>739</v>
      </c>
      <c r="T116" s="6">
        <v>15730000</v>
      </c>
    </row>
    <row r="117" spans="19:20" x14ac:dyDescent="0.3">
      <c r="S117" s="2" t="s">
        <v>752</v>
      </c>
      <c r="T117" s="6">
        <v>15670000</v>
      </c>
    </row>
    <row r="118" spans="19:20" x14ac:dyDescent="0.3">
      <c r="S118" s="2" t="s">
        <v>746</v>
      </c>
      <c r="T118" s="6">
        <v>15660000</v>
      </c>
    </row>
    <row r="119" spans="19:20" x14ac:dyDescent="0.3">
      <c r="S119" s="2" t="s">
        <v>758</v>
      </c>
      <c r="T119" s="6">
        <v>15590000</v>
      </c>
    </row>
    <row r="120" spans="19:20" x14ac:dyDescent="0.3">
      <c r="S120" s="2" t="s">
        <v>768</v>
      </c>
      <c r="T120" s="6">
        <v>12050000</v>
      </c>
    </row>
    <row r="121" spans="19:20" x14ac:dyDescent="0.3">
      <c r="S121" s="2" t="s">
        <v>763</v>
      </c>
      <c r="T121" s="6">
        <v>12050000</v>
      </c>
    </row>
    <row r="122" spans="19:20" x14ac:dyDescent="0.3">
      <c r="S122" s="2" t="s">
        <v>774</v>
      </c>
      <c r="T122" s="6">
        <v>12010000</v>
      </c>
    </row>
    <row r="123" spans="19:20" x14ac:dyDescent="0.3">
      <c r="S123" s="2" t="s">
        <v>780</v>
      </c>
      <c r="T123" s="6">
        <v>12000000</v>
      </c>
    </row>
    <row r="124" spans="19:20" x14ac:dyDescent="0.3">
      <c r="S124" s="2" t="s">
        <v>787</v>
      </c>
      <c r="T124" s="6">
        <v>11980000</v>
      </c>
    </row>
    <row r="125" spans="19:20" x14ac:dyDescent="0.3">
      <c r="S125" s="2" t="s">
        <v>793</v>
      </c>
      <c r="T125" s="6">
        <v>11970000</v>
      </c>
    </row>
    <row r="126" spans="19:20" x14ac:dyDescent="0.3">
      <c r="S126" s="2" t="s">
        <v>799</v>
      </c>
      <c r="T126" s="6">
        <v>11930000</v>
      </c>
    </row>
    <row r="127" spans="19:20" x14ac:dyDescent="0.3">
      <c r="S127" s="2" t="s">
        <v>810</v>
      </c>
      <c r="T127" s="6">
        <v>11860000</v>
      </c>
    </row>
    <row r="128" spans="19:20" x14ac:dyDescent="0.3">
      <c r="S128" s="2" t="s">
        <v>821</v>
      </c>
      <c r="T128" s="6">
        <v>11770000</v>
      </c>
    </row>
    <row r="129" spans="19:20" x14ac:dyDescent="0.3">
      <c r="S129" s="2" t="s">
        <v>832</v>
      </c>
      <c r="T129" s="6">
        <v>11690000</v>
      </c>
    </row>
    <row r="130" spans="19:20" x14ac:dyDescent="0.3">
      <c r="S130" s="2" t="s">
        <v>838</v>
      </c>
      <c r="T130" s="6">
        <v>11690000</v>
      </c>
    </row>
    <row r="131" spans="19:20" x14ac:dyDescent="0.3">
      <c r="S131" s="2" t="s">
        <v>826</v>
      </c>
      <c r="T131" s="6">
        <v>11690000</v>
      </c>
    </row>
    <row r="132" spans="19:20" x14ac:dyDescent="0.3">
      <c r="S132" s="2" t="s">
        <v>842</v>
      </c>
      <c r="T132" s="6">
        <v>11670000</v>
      </c>
    </row>
    <row r="133" spans="19:20" x14ac:dyDescent="0.3">
      <c r="S133" s="2" t="s">
        <v>848</v>
      </c>
      <c r="T133" s="6">
        <v>9360000</v>
      </c>
    </row>
    <row r="134" spans="19:20" x14ac:dyDescent="0.3">
      <c r="S134" s="2" t="s">
        <v>860</v>
      </c>
      <c r="T134" s="6">
        <v>9310000</v>
      </c>
    </row>
    <row r="135" spans="19:20" x14ac:dyDescent="0.3">
      <c r="S135" s="2" t="s">
        <v>866</v>
      </c>
      <c r="T135" s="6">
        <v>9300000</v>
      </c>
    </row>
    <row r="136" spans="19:20" x14ac:dyDescent="0.3">
      <c r="S136" s="2" t="s">
        <v>854</v>
      </c>
      <c r="T136" s="6">
        <v>9280000</v>
      </c>
    </row>
    <row r="137" spans="19:20" x14ac:dyDescent="0.3">
      <c r="S137" s="2" t="s">
        <v>877</v>
      </c>
      <c r="T137" s="6">
        <v>9250000</v>
      </c>
    </row>
    <row r="138" spans="19:20" x14ac:dyDescent="0.3">
      <c r="S138" s="2" t="s">
        <v>882</v>
      </c>
      <c r="T138" s="6">
        <v>9250000</v>
      </c>
    </row>
    <row r="139" spans="19:20" x14ac:dyDescent="0.3">
      <c r="S139" s="2" t="s">
        <v>871</v>
      </c>
      <c r="T139" s="6">
        <v>9250000</v>
      </c>
    </row>
    <row r="140" spans="19:20" x14ac:dyDescent="0.3">
      <c r="S140" s="2" t="s">
        <v>888</v>
      </c>
      <c r="T140" s="6">
        <v>9200000</v>
      </c>
    </row>
    <row r="141" spans="19:20" x14ac:dyDescent="0.3">
      <c r="S141" s="2" t="s">
        <v>894</v>
      </c>
      <c r="T141" s="6">
        <v>9170000</v>
      </c>
    </row>
    <row r="142" spans="19:20" x14ac:dyDescent="0.3">
      <c r="S142" s="2" t="s">
        <v>901</v>
      </c>
      <c r="T142" s="6">
        <v>9130000</v>
      </c>
    </row>
    <row r="143" spans="19:20" x14ac:dyDescent="0.3">
      <c r="S143" s="2" t="s">
        <v>908</v>
      </c>
      <c r="T143" s="6">
        <v>9100000</v>
      </c>
    </row>
    <row r="144" spans="19:20" x14ac:dyDescent="0.3">
      <c r="S144" s="2" t="s">
        <v>914</v>
      </c>
      <c r="T144" s="6">
        <v>9090000</v>
      </c>
    </row>
    <row r="145" spans="19:20" x14ac:dyDescent="0.3">
      <c r="S145" s="2" t="s">
        <v>920</v>
      </c>
      <c r="T145" s="6">
        <v>9090000</v>
      </c>
    </row>
    <row r="146" spans="19:20" x14ac:dyDescent="0.3">
      <c r="S146" s="2" t="s">
        <v>925</v>
      </c>
      <c r="T146" s="6">
        <v>9090000</v>
      </c>
    </row>
    <row r="147" spans="19:20" x14ac:dyDescent="0.3">
      <c r="S147" s="2" t="s">
        <v>930</v>
      </c>
      <c r="T147" s="6">
        <v>8780000</v>
      </c>
    </row>
    <row r="148" spans="19:20" x14ac:dyDescent="0.3">
      <c r="S148" s="2" t="s">
        <v>937</v>
      </c>
      <c r="T148" s="6">
        <v>7420000</v>
      </c>
    </row>
    <row r="149" spans="19:20" x14ac:dyDescent="0.3">
      <c r="S149" s="2" t="s">
        <v>943</v>
      </c>
      <c r="T149" s="6">
        <v>7410000</v>
      </c>
    </row>
    <row r="150" spans="19:20" x14ac:dyDescent="0.3">
      <c r="S150" s="2" t="s">
        <v>950</v>
      </c>
      <c r="T150" s="6">
        <v>7400000</v>
      </c>
    </row>
    <row r="151" spans="19:20" x14ac:dyDescent="0.3">
      <c r="S151" s="2" t="s">
        <v>956</v>
      </c>
      <c r="T151" s="6">
        <v>7390000</v>
      </c>
    </row>
    <row r="152" spans="19:20" x14ac:dyDescent="0.3">
      <c r="S152" s="2" t="s">
        <v>961</v>
      </c>
      <c r="T152" s="6">
        <v>7370000</v>
      </c>
    </row>
    <row r="153" spans="19:20" x14ac:dyDescent="0.3">
      <c r="S153" s="2" t="s">
        <v>967</v>
      </c>
      <c r="T153" s="6">
        <v>7360000</v>
      </c>
    </row>
    <row r="154" spans="19:20" x14ac:dyDescent="0.3">
      <c r="S154" s="2" t="s">
        <v>973</v>
      </c>
      <c r="T154" s="6">
        <v>7330000</v>
      </c>
    </row>
    <row r="155" spans="19:20" x14ac:dyDescent="0.3">
      <c r="S155" s="2" t="s">
        <v>979</v>
      </c>
      <c r="T155" s="6">
        <v>7290000</v>
      </c>
    </row>
    <row r="156" spans="19:20" x14ac:dyDescent="0.3">
      <c r="S156" s="2" t="s">
        <v>992</v>
      </c>
      <c r="T156" s="6">
        <v>7270000</v>
      </c>
    </row>
    <row r="157" spans="19:20" x14ac:dyDescent="0.3">
      <c r="S157" s="2" t="s">
        <v>986</v>
      </c>
      <c r="T157" s="6">
        <v>7270000</v>
      </c>
    </row>
    <row r="158" spans="19:20" x14ac:dyDescent="0.3">
      <c r="S158" s="2" t="s">
        <v>998</v>
      </c>
      <c r="T158" s="6">
        <v>7260000</v>
      </c>
    </row>
    <row r="159" spans="19:20" x14ac:dyDescent="0.3">
      <c r="S159" s="2" t="s">
        <v>1003</v>
      </c>
      <c r="T159" s="6">
        <v>7240000</v>
      </c>
    </row>
    <row r="160" spans="19:20" x14ac:dyDescent="0.3">
      <c r="S160" s="2" t="s">
        <v>1009</v>
      </c>
      <c r="T160" s="6">
        <v>7200000</v>
      </c>
    </row>
    <row r="161" spans="19:20" x14ac:dyDescent="0.3">
      <c r="S161" s="2" t="s">
        <v>7</v>
      </c>
      <c r="T161" s="6">
        <v>6160000</v>
      </c>
    </row>
    <row r="162" spans="19:20" x14ac:dyDescent="0.3">
      <c r="S162" s="2" t="s">
        <v>1026</v>
      </c>
      <c r="T162" s="6">
        <v>5710000</v>
      </c>
    </row>
    <row r="163" spans="19:20" x14ac:dyDescent="0.3">
      <c r="S163" s="2" t="s">
        <v>1033</v>
      </c>
      <c r="T163" s="6">
        <v>5700000</v>
      </c>
    </row>
    <row r="164" spans="19:20" x14ac:dyDescent="0.3">
      <c r="S164" s="2" t="s">
        <v>1039</v>
      </c>
      <c r="T164" s="6">
        <v>5680000</v>
      </c>
    </row>
    <row r="165" spans="19:20" x14ac:dyDescent="0.3">
      <c r="S165" s="2" t="s">
        <v>1049</v>
      </c>
      <c r="T165" s="6">
        <v>5680000</v>
      </c>
    </row>
    <row r="166" spans="19:20" x14ac:dyDescent="0.3">
      <c r="S166" s="2" t="s">
        <v>1054</v>
      </c>
      <c r="T166" s="6">
        <v>5670000</v>
      </c>
    </row>
    <row r="167" spans="19:20" x14ac:dyDescent="0.3">
      <c r="S167" s="2" t="s">
        <v>1060</v>
      </c>
      <c r="T167" s="6">
        <v>5640000</v>
      </c>
    </row>
    <row r="168" spans="19:20" x14ac:dyDescent="0.3">
      <c r="S168" s="2" t="s">
        <v>1067</v>
      </c>
      <c r="T168" s="6">
        <v>5640000</v>
      </c>
    </row>
    <row r="169" spans="19:20" x14ac:dyDescent="0.3">
      <c r="S169" s="2" t="s">
        <v>1073</v>
      </c>
      <c r="T169" s="6">
        <v>5630000</v>
      </c>
    </row>
    <row r="170" spans="19:20" x14ac:dyDescent="0.3">
      <c r="S170" s="2" t="s">
        <v>1085</v>
      </c>
      <c r="T170" s="6">
        <v>5600000</v>
      </c>
    </row>
    <row r="171" spans="19:20" x14ac:dyDescent="0.3">
      <c r="S171" s="2" t="s">
        <v>1097</v>
      </c>
      <c r="T171" s="6">
        <v>5590000</v>
      </c>
    </row>
    <row r="172" spans="19:20" x14ac:dyDescent="0.3">
      <c r="S172" s="2" t="s">
        <v>1091</v>
      </c>
      <c r="T172" s="6">
        <v>5590000</v>
      </c>
    </row>
    <row r="173" spans="19:20" x14ac:dyDescent="0.3">
      <c r="S173" s="2" t="s">
        <v>1107</v>
      </c>
      <c r="T173" s="6">
        <v>5570000</v>
      </c>
    </row>
    <row r="174" spans="19:20" x14ac:dyDescent="0.3">
      <c r="S174" s="2" t="s">
        <v>1102</v>
      </c>
      <c r="T174" s="6">
        <v>5570000</v>
      </c>
    </row>
    <row r="175" spans="19:20" x14ac:dyDescent="0.3">
      <c r="S175" s="2" t="s">
        <v>1111</v>
      </c>
      <c r="T175" s="6">
        <v>4400000</v>
      </c>
    </row>
    <row r="176" spans="19:20" x14ac:dyDescent="0.3">
      <c r="S176" s="2" t="s">
        <v>1118</v>
      </c>
      <c r="T176" s="6">
        <v>4390000</v>
      </c>
    </row>
    <row r="177" spans="19:20" x14ac:dyDescent="0.3">
      <c r="S177" s="2" t="s">
        <v>1125</v>
      </c>
      <c r="T177" s="6">
        <v>4370000</v>
      </c>
    </row>
    <row r="178" spans="19:20" x14ac:dyDescent="0.3">
      <c r="S178" s="2" t="s">
        <v>1130</v>
      </c>
      <c r="T178" s="6">
        <v>4360000</v>
      </c>
    </row>
    <row r="179" spans="19:20" x14ac:dyDescent="0.3">
      <c r="S179" s="2" t="s">
        <v>1142</v>
      </c>
      <c r="T179" s="6">
        <v>4310000</v>
      </c>
    </row>
    <row r="180" spans="19:20" x14ac:dyDescent="0.3">
      <c r="S180" s="2" t="s">
        <v>1156</v>
      </c>
      <c r="T180" s="6">
        <v>4300000</v>
      </c>
    </row>
    <row r="181" spans="19:20" x14ac:dyDescent="0.3">
      <c r="S181" s="2" t="s">
        <v>1183</v>
      </c>
      <c r="T181" s="6">
        <v>4270000</v>
      </c>
    </row>
    <row r="182" spans="19:20" x14ac:dyDescent="0.3">
      <c r="S182" s="2" t="s">
        <v>1167</v>
      </c>
      <c r="T182" s="6">
        <v>4270000</v>
      </c>
    </row>
    <row r="183" spans="19:20" x14ac:dyDescent="0.3">
      <c r="S183" s="2" t="s">
        <v>1173</v>
      </c>
      <c r="T183" s="6">
        <v>4270000</v>
      </c>
    </row>
    <row r="184" spans="19:20" x14ac:dyDescent="0.3">
      <c r="S184" s="2" t="s">
        <v>1178</v>
      </c>
      <c r="T184" s="6">
        <v>4270000</v>
      </c>
    </row>
    <row r="185" spans="19:20" x14ac:dyDescent="0.3">
      <c r="S185" s="2" t="s">
        <v>1188</v>
      </c>
      <c r="T185" s="6">
        <v>4260000</v>
      </c>
    </row>
    <row r="186" spans="19:20" x14ac:dyDescent="0.3">
      <c r="S186" s="2" t="s">
        <v>1193</v>
      </c>
      <c r="T186" s="6">
        <v>4240000</v>
      </c>
    </row>
    <row r="187" spans="19:20" x14ac:dyDescent="0.3">
      <c r="S187" s="2" t="s">
        <v>1149</v>
      </c>
      <c r="T187" s="6">
        <v>4240000</v>
      </c>
    </row>
    <row r="188" spans="19:20" x14ac:dyDescent="0.3">
      <c r="S188" s="2" t="s">
        <v>1198</v>
      </c>
      <c r="T188" s="6">
        <v>3400000</v>
      </c>
    </row>
    <row r="189" spans="19:20" x14ac:dyDescent="0.3">
      <c r="S189" s="2" t="s">
        <v>1205</v>
      </c>
      <c r="T189" s="6">
        <v>3380000</v>
      </c>
    </row>
    <row r="190" spans="19:20" x14ac:dyDescent="0.3">
      <c r="S190" s="2" t="s">
        <v>1211</v>
      </c>
      <c r="T190" s="6">
        <v>3360000</v>
      </c>
    </row>
    <row r="191" spans="19:20" x14ac:dyDescent="0.3">
      <c r="S191" s="2" t="s">
        <v>1217</v>
      </c>
      <c r="T191" s="6">
        <v>3350000</v>
      </c>
    </row>
    <row r="192" spans="19:20" x14ac:dyDescent="0.3">
      <c r="S192" s="2" t="s">
        <v>1223</v>
      </c>
      <c r="T192" s="6">
        <v>3350000</v>
      </c>
    </row>
    <row r="193" spans="19:20" x14ac:dyDescent="0.3">
      <c r="S193" s="2" t="s">
        <v>1228</v>
      </c>
      <c r="T193" s="6">
        <v>3340000</v>
      </c>
    </row>
    <row r="194" spans="19:20" x14ac:dyDescent="0.3">
      <c r="S194" s="2" t="s">
        <v>1235</v>
      </c>
      <c r="T194" s="6">
        <v>3340000</v>
      </c>
    </row>
    <row r="195" spans="19:20" x14ac:dyDescent="0.3">
      <c r="S195" s="2" t="s">
        <v>1247</v>
      </c>
      <c r="T195" s="6">
        <v>3330000</v>
      </c>
    </row>
    <row r="196" spans="19:20" x14ac:dyDescent="0.3">
      <c r="S196" s="2" t="s">
        <v>1241</v>
      </c>
      <c r="T196" s="6">
        <v>3330000</v>
      </c>
    </row>
    <row r="197" spans="19:20" x14ac:dyDescent="0.3">
      <c r="S197" s="2" t="s">
        <v>1252</v>
      </c>
      <c r="T197" s="6">
        <v>3320000</v>
      </c>
    </row>
    <row r="198" spans="19:20" x14ac:dyDescent="0.3">
      <c r="S198" s="2" t="s">
        <v>1270</v>
      </c>
      <c r="T198" s="6">
        <v>3320000</v>
      </c>
    </row>
    <row r="199" spans="19:20" x14ac:dyDescent="0.3">
      <c r="S199" s="2" t="s">
        <v>1258</v>
      </c>
      <c r="T199" s="6">
        <v>3310000</v>
      </c>
    </row>
    <row r="200" spans="19:20" x14ac:dyDescent="0.3">
      <c r="S200" s="2" t="s">
        <v>1265</v>
      </c>
      <c r="T200" s="6">
        <v>3310000</v>
      </c>
    </row>
    <row r="201" spans="19:20" x14ac:dyDescent="0.3">
      <c r="S201" s="2" t="s">
        <v>1280</v>
      </c>
      <c r="T201" s="6">
        <v>3290000</v>
      </c>
    </row>
    <row r="202" spans="19:20" x14ac:dyDescent="0.3">
      <c r="S202" s="2" t="s">
        <v>1275</v>
      </c>
      <c r="T202" s="6">
        <v>3290000</v>
      </c>
    </row>
    <row r="203" spans="19:20" x14ac:dyDescent="0.3">
      <c r="S203" s="2" t="s">
        <v>1285</v>
      </c>
      <c r="T203" s="6">
        <v>2640000</v>
      </c>
    </row>
    <row r="204" spans="19:20" x14ac:dyDescent="0.3">
      <c r="S204" s="2" t="s">
        <v>1291</v>
      </c>
      <c r="T204" s="6">
        <v>2620000</v>
      </c>
    </row>
    <row r="205" spans="19:20" x14ac:dyDescent="0.3">
      <c r="S205" s="2" t="s">
        <v>1312</v>
      </c>
      <c r="T205" s="6">
        <v>2610000</v>
      </c>
    </row>
    <row r="206" spans="19:20" x14ac:dyDescent="0.3">
      <c r="S206" s="2" t="s">
        <v>1317</v>
      </c>
      <c r="T206" s="6">
        <v>2610000</v>
      </c>
    </row>
    <row r="207" spans="19:20" x14ac:dyDescent="0.3">
      <c r="S207" s="2" t="s">
        <v>1308</v>
      </c>
      <c r="T207" s="6">
        <v>2610000</v>
      </c>
    </row>
    <row r="208" spans="19:20" x14ac:dyDescent="0.3">
      <c r="S208" s="2" t="s">
        <v>1298</v>
      </c>
      <c r="T208" s="6">
        <v>2610000</v>
      </c>
    </row>
    <row r="209" spans="19:20" x14ac:dyDescent="0.3">
      <c r="S209" s="2" t="s">
        <v>1302</v>
      </c>
      <c r="T209" s="6">
        <v>2610000</v>
      </c>
    </row>
    <row r="210" spans="19:20" x14ac:dyDescent="0.3">
      <c r="S210" s="2" t="s">
        <v>1322</v>
      </c>
      <c r="T210" s="6">
        <v>2600000</v>
      </c>
    </row>
    <row r="211" spans="19:20" x14ac:dyDescent="0.3">
      <c r="S211" s="2" t="s">
        <v>1328</v>
      </c>
      <c r="T211" s="6">
        <v>2590000</v>
      </c>
    </row>
    <row r="212" spans="19:20" x14ac:dyDescent="0.3">
      <c r="S212" s="2" t="s">
        <v>1334</v>
      </c>
      <c r="T212" s="6">
        <v>2580000</v>
      </c>
    </row>
    <row r="213" spans="19:20" x14ac:dyDescent="0.3">
      <c r="S213" s="2" t="s">
        <v>1344</v>
      </c>
      <c r="T213" s="6">
        <v>2580000</v>
      </c>
    </row>
    <row r="214" spans="19:20" x14ac:dyDescent="0.3">
      <c r="S214" s="2" t="s">
        <v>1340</v>
      </c>
      <c r="T214" s="6">
        <v>2580000</v>
      </c>
    </row>
    <row r="215" spans="19:20" x14ac:dyDescent="0.3">
      <c r="S215" s="2" t="s">
        <v>1354</v>
      </c>
      <c r="T215" s="6">
        <v>2570000</v>
      </c>
    </row>
    <row r="216" spans="19:20" x14ac:dyDescent="0.3">
      <c r="S216" s="2" t="s">
        <v>1359</v>
      </c>
      <c r="T216" s="6">
        <v>2570000</v>
      </c>
    </row>
    <row r="217" spans="19:20" x14ac:dyDescent="0.3">
      <c r="S217" s="2" t="s">
        <v>1348</v>
      </c>
      <c r="T217" s="6">
        <v>2570000</v>
      </c>
    </row>
    <row r="218" spans="19:20" x14ac:dyDescent="0.3">
      <c r="S218" s="2" t="s">
        <v>1375</v>
      </c>
      <c r="T218" s="6">
        <v>2029999.9999999998</v>
      </c>
    </row>
    <row r="219" spans="19:20" x14ac:dyDescent="0.3">
      <c r="S219" s="2" t="s">
        <v>1364</v>
      </c>
      <c r="T219" s="6">
        <v>2029999.9999999998</v>
      </c>
    </row>
    <row r="220" spans="19:20" x14ac:dyDescent="0.3">
      <c r="S220" s="2" t="s">
        <v>1370</v>
      </c>
      <c r="T220" s="6">
        <v>2029999.9999999998</v>
      </c>
    </row>
    <row r="221" spans="19:20" x14ac:dyDescent="0.3">
      <c r="S221" s="2" t="s">
        <v>1393</v>
      </c>
      <c r="T221" s="6">
        <v>2020000</v>
      </c>
    </row>
    <row r="222" spans="19:20" x14ac:dyDescent="0.3">
      <c r="S222" s="2" t="s">
        <v>1387</v>
      </c>
      <c r="T222" s="6">
        <v>2009999.9999999998</v>
      </c>
    </row>
    <row r="223" spans="19:20" x14ac:dyDescent="0.3">
      <c r="S223" s="2" t="s">
        <v>1399</v>
      </c>
      <c r="T223" s="6">
        <v>2000000</v>
      </c>
    </row>
    <row r="224" spans="19:20" x14ac:dyDescent="0.3">
      <c r="S224" s="2" t="s">
        <v>1404</v>
      </c>
      <c r="T224" s="6">
        <v>1990000</v>
      </c>
    </row>
    <row r="225" spans="19:20" x14ac:dyDescent="0.3">
      <c r="S225" s="2" t="s">
        <v>1410</v>
      </c>
      <c r="T225" s="6">
        <v>1980000</v>
      </c>
    </row>
    <row r="226" spans="19:20" x14ac:dyDescent="0.3">
      <c r="S226" s="2" t="s">
        <v>1416</v>
      </c>
      <c r="T226" s="6">
        <v>1980000</v>
      </c>
    </row>
    <row r="227" spans="19:20" x14ac:dyDescent="0.3">
      <c r="S227" s="2" t="s">
        <v>1426</v>
      </c>
      <c r="T227" s="6">
        <v>1980000</v>
      </c>
    </row>
    <row r="228" spans="19:20" x14ac:dyDescent="0.3">
      <c r="S228" s="2" t="s">
        <v>1436</v>
      </c>
      <c r="T228" s="6">
        <v>1970000</v>
      </c>
    </row>
    <row r="229" spans="19:20" x14ac:dyDescent="0.3">
      <c r="S229" s="2" t="s">
        <v>1420</v>
      </c>
      <c r="T229" s="6">
        <v>1970000</v>
      </c>
    </row>
    <row r="230" spans="19:20" x14ac:dyDescent="0.3">
      <c r="S230" s="2" t="s">
        <v>1431</v>
      </c>
      <c r="T230" s="6">
        <v>1970000</v>
      </c>
    </row>
    <row r="231" spans="19:20" x14ac:dyDescent="0.3">
      <c r="S231" s="2" t="s">
        <v>1451</v>
      </c>
      <c r="T231" s="6">
        <v>1590000</v>
      </c>
    </row>
    <row r="232" spans="19:20" x14ac:dyDescent="0.3">
      <c r="S232" s="2" t="s">
        <v>1446</v>
      </c>
      <c r="T232" s="6">
        <v>1590000</v>
      </c>
    </row>
    <row r="233" spans="19:20" x14ac:dyDescent="0.3">
      <c r="S233" s="2" t="s">
        <v>1456</v>
      </c>
      <c r="T233" s="6">
        <v>1590000</v>
      </c>
    </row>
    <row r="234" spans="19:20" x14ac:dyDescent="0.3">
      <c r="S234" s="2" t="s">
        <v>1466</v>
      </c>
      <c r="T234" s="6">
        <v>1580000</v>
      </c>
    </row>
    <row r="235" spans="19:20" x14ac:dyDescent="0.3">
      <c r="S235" s="2" t="s">
        <v>1471</v>
      </c>
      <c r="T235" s="6">
        <v>1580000</v>
      </c>
    </row>
    <row r="236" spans="19:20" x14ac:dyDescent="0.3">
      <c r="S236" s="2" t="s">
        <v>1461</v>
      </c>
      <c r="T236" s="6">
        <v>1580000</v>
      </c>
    </row>
    <row r="237" spans="19:20" x14ac:dyDescent="0.3">
      <c r="S237" s="2" t="s">
        <v>1500</v>
      </c>
      <c r="T237" s="6">
        <v>1570000</v>
      </c>
    </row>
    <row r="238" spans="19:20" x14ac:dyDescent="0.3">
      <c r="S238" s="2" t="s">
        <v>1485</v>
      </c>
      <c r="T238" s="6">
        <v>1570000</v>
      </c>
    </row>
    <row r="239" spans="19:20" x14ac:dyDescent="0.3">
      <c r="S239" s="2" t="s">
        <v>1494</v>
      </c>
      <c r="T239" s="6">
        <v>1570000</v>
      </c>
    </row>
    <row r="240" spans="19:20" x14ac:dyDescent="0.3">
      <c r="S240" s="2" t="s">
        <v>1505</v>
      </c>
      <c r="T240" s="6">
        <v>1560000</v>
      </c>
    </row>
    <row r="241" spans="19:20" x14ac:dyDescent="0.3">
      <c r="S241" s="2" t="s">
        <v>1511</v>
      </c>
      <c r="T241" s="6">
        <v>1550000</v>
      </c>
    </row>
    <row r="242" spans="19:20" x14ac:dyDescent="0.3">
      <c r="S242" s="2" t="s">
        <v>1529</v>
      </c>
      <c r="T242" s="6">
        <v>1290000</v>
      </c>
    </row>
    <row r="243" spans="19:20" x14ac:dyDescent="0.3">
      <c r="S243" s="2" t="s">
        <v>1534</v>
      </c>
      <c r="T243" s="6">
        <v>1290000</v>
      </c>
    </row>
    <row r="244" spans="19:20" x14ac:dyDescent="0.3">
      <c r="S244" s="2" t="s">
        <v>1524</v>
      </c>
      <c r="T244" s="6">
        <v>1290000</v>
      </c>
    </row>
    <row r="245" spans="19:20" x14ac:dyDescent="0.3">
      <c r="S245" s="2" t="s">
        <v>1549</v>
      </c>
      <c r="T245" s="6">
        <v>1280000</v>
      </c>
    </row>
    <row r="246" spans="19:20" x14ac:dyDescent="0.3">
      <c r="S246" s="2" t="s">
        <v>1540</v>
      </c>
      <c r="T246" s="6">
        <v>1280000</v>
      </c>
    </row>
    <row r="247" spans="19:20" x14ac:dyDescent="0.3">
      <c r="S247" s="2" t="s">
        <v>1545</v>
      </c>
      <c r="T247" s="6">
        <v>1280000</v>
      </c>
    </row>
    <row r="248" spans="19:20" x14ac:dyDescent="0.3">
      <c r="S248" s="2" t="s">
        <v>1554</v>
      </c>
      <c r="T248" s="6">
        <v>1270000</v>
      </c>
    </row>
    <row r="249" spans="19:20" x14ac:dyDescent="0.3">
      <c r="S249" s="2" t="s">
        <v>1573</v>
      </c>
      <c r="T249" s="6">
        <v>1270000</v>
      </c>
    </row>
    <row r="250" spans="19:20" x14ac:dyDescent="0.3">
      <c r="S250" s="2" t="s">
        <v>1565</v>
      </c>
      <c r="T250" s="6">
        <v>1270000</v>
      </c>
    </row>
    <row r="251" spans="19:20" x14ac:dyDescent="0.3">
      <c r="S251" s="2" t="s">
        <v>1578</v>
      </c>
      <c r="T251" s="6">
        <v>1270000</v>
      </c>
    </row>
    <row r="252" spans="19:20" x14ac:dyDescent="0.3">
      <c r="S252" s="2" t="s">
        <v>1583</v>
      </c>
      <c r="T252" s="6">
        <v>1260000</v>
      </c>
    </row>
    <row r="253" spans="19:20" x14ac:dyDescent="0.3">
      <c r="S253" s="2" t="s">
        <v>1589</v>
      </c>
      <c r="T253" s="6">
        <v>1260000</v>
      </c>
    </row>
    <row r="254" spans="19:20" x14ac:dyDescent="0.3">
      <c r="S254" s="2" t="s">
        <v>1611</v>
      </c>
      <c r="T254" s="6">
        <v>1070000</v>
      </c>
    </row>
    <row r="255" spans="19:20" x14ac:dyDescent="0.3">
      <c r="S255" s="2" t="s">
        <v>1606</v>
      </c>
      <c r="T255" s="6">
        <v>1070000</v>
      </c>
    </row>
    <row r="256" spans="19:20" x14ac:dyDescent="0.3">
      <c r="S256" s="2" t="s">
        <v>1594</v>
      </c>
      <c r="T256" s="6">
        <v>1070000</v>
      </c>
    </row>
    <row r="257" spans="19:20" x14ac:dyDescent="0.3">
      <c r="S257" s="2" t="s">
        <v>1600</v>
      </c>
      <c r="T257" s="6">
        <v>1070000</v>
      </c>
    </row>
    <row r="258" spans="19:20" x14ac:dyDescent="0.3">
      <c r="S258" s="2" t="s">
        <v>1621</v>
      </c>
      <c r="T258" s="6">
        <v>1060000</v>
      </c>
    </row>
    <row r="259" spans="19:20" x14ac:dyDescent="0.3">
      <c r="S259" s="2" t="s">
        <v>1616</v>
      </c>
      <c r="T259" s="6">
        <v>1060000</v>
      </c>
    </row>
    <row r="260" spans="19:20" x14ac:dyDescent="0.3">
      <c r="S260" s="2" t="s">
        <v>1635</v>
      </c>
      <c r="T260" s="6">
        <v>1060000</v>
      </c>
    </row>
    <row r="261" spans="19:20" x14ac:dyDescent="0.3">
      <c r="S261" s="2" t="s">
        <v>1646</v>
      </c>
      <c r="T261" s="6">
        <v>1050000</v>
      </c>
    </row>
    <row r="262" spans="19:20" x14ac:dyDescent="0.3">
      <c r="S262" s="2" t="s">
        <v>1640</v>
      </c>
      <c r="T262" s="6">
        <v>1050000</v>
      </c>
    </row>
    <row r="263" spans="19:20" x14ac:dyDescent="0.3">
      <c r="S263" s="2" t="s">
        <v>1627</v>
      </c>
      <c r="T263" s="6">
        <v>1040000</v>
      </c>
    </row>
    <row r="264" spans="19:20" x14ac:dyDescent="0.3">
      <c r="S264" s="2" t="s">
        <v>1651</v>
      </c>
      <c r="T264" s="6">
        <v>1040000</v>
      </c>
    </row>
    <row r="265" spans="19:20" x14ac:dyDescent="0.3">
      <c r="S265" s="2" t="s">
        <v>1663</v>
      </c>
      <c r="T265" s="6">
        <v>1030000</v>
      </c>
    </row>
    <row r="266" spans="19:20" x14ac:dyDescent="0.3">
      <c r="S266" s="2" t="s">
        <v>1668</v>
      </c>
      <c r="T266" s="6">
        <v>1030000</v>
      </c>
    </row>
    <row r="267" spans="19:20" x14ac:dyDescent="0.3">
      <c r="S267" s="2" t="s">
        <v>1656</v>
      </c>
      <c r="T267" s="6">
        <v>1030000</v>
      </c>
    </row>
    <row r="268" spans="19:20" x14ac:dyDescent="0.3">
      <c r="S268" s="2" t="s">
        <v>1683</v>
      </c>
      <c r="T268" s="6">
        <v>878450</v>
      </c>
    </row>
    <row r="269" spans="19:20" x14ac:dyDescent="0.3">
      <c r="S269" s="2" t="s">
        <v>1692</v>
      </c>
      <c r="T269" s="6">
        <v>876320</v>
      </c>
    </row>
    <row r="270" spans="19:20" x14ac:dyDescent="0.3">
      <c r="S270" s="2" t="s">
        <v>1697</v>
      </c>
      <c r="T270" s="6">
        <v>874500</v>
      </c>
    </row>
    <row r="271" spans="19:20" x14ac:dyDescent="0.3">
      <c r="S271" s="2" t="s">
        <v>1703</v>
      </c>
      <c r="T271" s="6">
        <v>871340</v>
      </c>
    </row>
    <row r="272" spans="19:20" x14ac:dyDescent="0.3">
      <c r="S272" s="2" t="s">
        <v>1709</v>
      </c>
      <c r="T272" s="6">
        <v>870840</v>
      </c>
    </row>
    <row r="273" spans="19:20" x14ac:dyDescent="0.3">
      <c r="S273" s="2" t="s">
        <v>1716</v>
      </c>
      <c r="T273" s="6">
        <v>867340</v>
      </c>
    </row>
    <row r="274" spans="19:20" x14ac:dyDescent="0.3">
      <c r="S274" s="2" t="s">
        <v>1722</v>
      </c>
      <c r="T274" s="6">
        <v>867080</v>
      </c>
    </row>
    <row r="275" spans="19:20" x14ac:dyDescent="0.3">
      <c r="S275" s="2" t="s">
        <v>1735</v>
      </c>
      <c r="T275" s="6">
        <v>865700</v>
      </c>
    </row>
    <row r="276" spans="19:20" x14ac:dyDescent="0.3">
      <c r="S276" s="2" t="s">
        <v>1741</v>
      </c>
      <c r="T276" s="6">
        <v>865210</v>
      </c>
    </row>
    <row r="277" spans="19:20" x14ac:dyDescent="0.3">
      <c r="S277" s="2" t="s">
        <v>1728</v>
      </c>
      <c r="T277" s="6">
        <v>864210</v>
      </c>
    </row>
    <row r="278" spans="19:20" x14ac:dyDescent="0.3">
      <c r="S278" s="2" t="s">
        <v>1747</v>
      </c>
      <c r="T278" s="6">
        <v>863850</v>
      </c>
    </row>
    <row r="279" spans="19:20" x14ac:dyDescent="0.3">
      <c r="S279" s="2" t="s">
        <v>1753</v>
      </c>
      <c r="T279" s="6">
        <v>859500</v>
      </c>
    </row>
    <row r="280" spans="19:20" x14ac:dyDescent="0.3">
      <c r="S280" s="2" t="s">
        <v>2224</v>
      </c>
      <c r="T280" s="6">
        <v>2084902144340</v>
      </c>
    </row>
  </sheetData>
  <conditionalFormatting sqref="A54:A73">
    <cfRule type="colorScale" priority="2">
      <colorScale>
        <cfvo type="min"/>
        <cfvo type="percentile" val="50"/>
        <cfvo type="max"/>
        <color rgb="FFF8696B"/>
        <color rgb="FFFFEB84"/>
        <color rgb="FF63BE7B"/>
      </colorScale>
    </cfRule>
  </conditionalFormatting>
  <conditionalFormatting sqref="A54:A73">
    <cfRule type="colorScale" priority="1">
      <colorScale>
        <cfvo type="min"/>
        <cfvo type="percentile" val="50"/>
        <cfvo type="max"/>
        <color rgb="FF63BE7B"/>
        <color rgb="FFFFEB84"/>
        <color rgb="FFF8696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54F7-75C8-4318-AC76-B535F3AE0ADA}">
  <dimension ref="D1:AE115"/>
  <sheetViews>
    <sheetView tabSelected="1" zoomScale="45" zoomScaleNormal="45" workbookViewId="0">
      <selection activeCell="P18" sqref="P18"/>
    </sheetView>
  </sheetViews>
  <sheetFormatPr defaultRowHeight="14.4" x14ac:dyDescent="0.3"/>
  <cols>
    <col min="15" max="15" width="62.6640625" bestFit="1" customWidth="1"/>
    <col min="16" max="16" width="24.33203125" customWidth="1"/>
    <col min="17" max="17" width="2.77734375" customWidth="1"/>
    <col min="18" max="18" width="0.5546875" hidden="1" customWidth="1"/>
    <col min="19" max="19" width="8.88671875" hidden="1" customWidth="1"/>
    <col min="20" max="20" width="5.44140625" customWidth="1"/>
    <col min="21" max="21" width="4.33203125" customWidth="1"/>
    <col min="23" max="23" width="8.6640625" customWidth="1"/>
  </cols>
  <sheetData>
    <row r="1" spans="4:31" x14ac:dyDescent="0.3">
      <c r="D1" s="5"/>
      <c r="E1" s="5"/>
      <c r="F1" s="5"/>
      <c r="G1" s="5"/>
      <c r="H1" s="5"/>
      <c r="I1" s="5"/>
      <c r="J1" s="5"/>
      <c r="K1" s="5"/>
      <c r="L1" s="5"/>
      <c r="M1" s="5"/>
      <c r="N1" s="5"/>
      <c r="O1" s="5"/>
      <c r="P1" s="5"/>
      <c r="Q1" s="5"/>
      <c r="R1" s="5"/>
      <c r="S1" s="5"/>
      <c r="T1" s="5"/>
      <c r="U1" s="5"/>
      <c r="V1" s="5"/>
      <c r="W1" s="5"/>
      <c r="X1" s="5"/>
      <c r="Y1" s="5"/>
      <c r="Z1" s="5"/>
      <c r="AA1" s="5"/>
      <c r="AB1" s="5"/>
      <c r="AC1" s="5"/>
      <c r="AD1" s="5"/>
      <c r="AE1" s="5"/>
    </row>
    <row r="2" spans="4:31" x14ac:dyDescent="0.3">
      <c r="D2" s="5"/>
      <c r="E2" s="5"/>
      <c r="F2" s="5"/>
      <c r="G2" s="5"/>
      <c r="H2" s="5"/>
      <c r="I2" s="5"/>
      <c r="J2" s="5"/>
      <c r="K2" s="5"/>
      <c r="L2" s="5"/>
      <c r="M2" s="5"/>
      <c r="N2" s="5"/>
      <c r="O2" s="5"/>
      <c r="P2" s="5"/>
      <c r="Q2" s="5"/>
      <c r="R2" s="5"/>
      <c r="S2" s="5"/>
      <c r="T2" s="5"/>
      <c r="U2" s="5"/>
      <c r="V2" s="5"/>
      <c r="W2" s="5"/>
      <c r="X2" s="5"/>
      <c r="Y2" s="5"/>
      <c r="Z2" s="5"/>
      <c r="AA2" s="5"/>
      <c r="AB2" s="5"/>
      <c r="AC2" s="5"/>
      <c r="AD2" s="5"/>
      <c r="AE2" s="5"/>
    </row>
    <row r="3" spans="4:31" x14ac:dyDescent="0.3">
      <c r="D3" s="5"/>
      <c r="E3" s="5"/>
      <c r="F3" s="5"/>
      <c r="G3" s="5"/>
      <c r="H3" s="5"/>
      <c r="I3" s="5"/>
      <c r="J3" s="5"/>
      <c r="K3" s="5"/>
      <c r="L3" s="5"/>
      <c r="M3" s="5"/>
      <c r="N3" s="5"/>
      <c r="O3" s="5"/>
      <c r="P3" s="5"/>
      <c r="Q3" s="5"/>
      <c r="R3" s="5"/>
      <c r="S3" s="5"/>
      <c r="T3" s="5"/>
      <c r="U3" s="5"/>
      <c r="V3" s="5"/>
      <c r="W3" s="5"/>
      <c r="X3" s="5"/>
      <c r="Y3" s="5"/>
      <c r="Z3" s="5"/>
      <c r="AA3" s="5"/>
      <c r="AB3" s="5"/>
      <c r="AC3" s="5"/>
      <c r="AD3" s="5"/>
      <c r="AE3" s="5"/>
    </row>
    <row r="4" spans="4:31" x14ac:dyDescent="0.3">
      <c r="D4" s="5"/>
      <c r="E4" s="5"/>
      <c r="F4" s="5"/>
      <c r="G4" s="5"/>
      <c r="H4" s="5"/>
      <c r="I4" s="5"/>
      <c r="J4" s="5"/>
      <c r="K4" s="5"/>
      <c r="L4" s="5"/>
      <c r="M4" s="5"/>
      <c r="N4" s="5"/>
      <c r="O4" s="5"/>
      <c r="P4" s="5"/>
      <c r="Q4" s="5"/>
      <c r="R4" s="5"/>
      <c r="S4" s="5"/>
      <c r="T4" s="5"/>
      <c r="U4" s="5"/>
      <c r="V4" s="5"/>
      <c r="W4" s="5"/>
      <c r="X4" s="5"/>
      <c r="Y4" s="5"/>
      <c r="Z4" s="5"/>
      <c r="AA4" s="5"/>
      <c r="AB4" s="5"/>
      <c r="AC4" s="5"/>
      <c r="AD4" s="5"/>
      <c r="AE4" s="5"/>
    </row>
    <row r="5" spans="4:31" x14ac:dyDescent="0.3">
      <c r="D5" s="5"/>
      <c r="E5" s="5"/>
      <c r="F5" s="5"/>
      <c r="G5" s="5"/>
      <c r="H5" s="5"/>
      <c r="I5" s="5"/>
      <c r="J5" s="5"/>
      <c r="K5" s="5"/>
      <c r="L5" s="5"/>
      <c r="M5" s="5"/>
      <c r="N5" s="5"/>
      <c r="O5" s="5"/>
      <c r="P5" s="5"/>
      <c r="Q5" s="5"/>
      <c r="R5" s="5"/>
      <c r="S5" s="5"/>
      <c r="T5" s="5"/>
      <c r="U5" s="5"/>
      <c r="V5" s="5"/>
      <c r="W5" s="5"/>
      <c r="X5" s="5"/>
      <c r="Y5" s="5"/>
      <c r="Z5" s="5"/>
      <c r="AA5" s="5"/>
      <c r="AB5" s="5"/>
      <c r="AC5" s="5"/>
      <c r="AD5" s="5"/>
      <c r="AE5" s="5"/>
    </row>
    <row r="6" spans="4:31" x14ac:dyDescent="0.3">
      <c r="D6" s="5"/>
      <c r="E6" s="5"/>
      <c r="F6" s="5"/>
      <c r="G6" s="5"/>
      <c r="H6" s="5"/>
      <c r="I6" s="5"/>
      <c r="J6" s="5"/>
      <c r="K6" s="5"/>
      <c r="L6" s="5"/>
      <c r="M6" s="5"/>
      <c r="N6" s="5"/>
      <c r="O6" s="5"/>
      <c r="P6" s="5"/>
      <c r="Q6" s="5"/>
      <c r="R6" s="5"/>
      <c r="S6" s="5"/>
      <c r="T6" s="5"/>
      <c r="U6" s="5"/>
      <c r="V6" s="5"/>
      <c r="W6" s="5"/>
      <c r="X6" s="5"/>
      <c r="Y6" s="5"/>
      <c r="Z6" s="5"/>
      <c r="AA6" s="5"/>
      <c r="AB6" s="5"/>
      <c r="AC6" s="5"/>
      <c r="AD6" s="5"/>
      <c r="AE6" s="5"/>
    </row>
    <row r="7" spans="4:31" x14ac:dyDescent="0.3">
      <c r="D7" s="5"/>
      <c r="E7" s="5"/>
      <c r="F7" s="5"/>
      <c r="G7" s="5"/>
      <c r="H7" s="5"/>
      <c r="I7" s="5"/>
      <c r="J7" s="5"/>
      <c r="K7" s="5"/>
      <c r="L7" s="5"/>
      <c r="M7" s="5"/>
      <c r="N7" s="5"/>
      <c r="O7" s="5"/>
      <c r="P7" s="5"/>
      <c r="Q7" s="5"/>
      <c r="R7" s="5"/>
      <c r="S7" s="5"/>
      <c r="T7" s="5"/>
      <c r="U7" s="5"/>
      <c r="V7" s="5"/>
      <c r="W7" s="5"/>
      <c r="X7" s="5"/>
      <c r="Y7" s="5"/>
      <c r="Z7" s="5"/>
      <c r="AA7" s="5"/>
      <c r="AB7" s="5"/>
      <c r="AC7" s="5"/>
      <c r="AD7" s="5"/>
      <c r="AE7" s="5"/>
    </row>
    <row r="8" spans="4:31" x14ac:dyDescent="0.3">
      <c r="D8" s="5"/>
      <c r="E8" s="5"/>
      <c r="F8" s="5"/>
      <c r="G8" s="5"/>
      <c r="H8" s="5"/>
      <c r="I8" s="5"/>
      <c r="J8" s="5"/>
      <c r="K8" s="5"/>
      <c r="L8" s="5"/>
      <c r="M8" s="5"/>
      <c r="N8" s="5"/>
      <c r="O8" s="5"/>
      <c r="P8" s="5"/>
      <c r="Q8" s="5"/>
      <c r="R8" s="5"/>
      <c r="S8" s="5"/>
      <c r="T8" s="5"/>
      <c r="U8" s="5"/>
      <c r="V8" s="5"/>
      <c r="W8" s="5"/>
      <c r="X8" s="5"/>
      <c r="Y8" s="5"/>
      <c r="Z8" s="5"/>
      <c r="AA8" s="5"/>
      <c r="AB8" s="5"/>
      <c r="AC8" s="5"/>
      <c r="AD8" s="5"/>
      <c r="AE8" s="5"/>
    </row>
    <row r="9" spans="4:31" x14ac:dyDescent="0.3">
      <c r="D9" s="5"/>
      <c r="E9" s="5"/>
      <c r="F9" s="5"/>
      <c r="G9" s="5"/>
      <c r="H9" s="5"/>
      <c r="I9" s="5"/>
      <c r="J9" s="5"/>
      <c r="K9" s="5"/>
      <c r="L9" s="5"/>
      <c r="M9" s="5"/>
      <c r="N9" s="5"/>
      <c r="O9" s="5"/>
      <c r="P9" s="5"/>
      <c r="Q9" s="5"/>
      <c r="R9" s="5"/>
      <c r="S9" s="5"/>
      <c r="T9" s="5"/>
      <c r="U9" s="5"/>
      <c r="V9" s="5"/>
      <c r="W9" s="5"/>
      <c r="X9" s="5"/>
      <c r="Y9" s="5"/>
      <c r="Z9" s="5"/>
      <c r="AA9" s="5"/>
      <c r="AB9" s="5"/>
      <c r="AC9" s="5"/>
      <c r="AD9" s="5"/>
      <c r="AE9" s="5"/>
    </row>
    <row r="10" spans="4:31" x14ac:dyDescent="0.3">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row>
    <row r="11" spans="4:31" x14ac:dyDescent="0.3">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row>
    <row r="12" spans="4:31" x14ac:dyDescent="0.3">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row>
    <row r="13" spans="4:31" x14ac:dyDescent="0.3">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row>
    <row r="14" spans="4:31" x14ac:dyDescent="0.3">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row>
    <row r="15" spans="4:31" x14ac:dyDescent="0.3">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row>
    <row r="16" spans="4:31" x14ac:dyDescent="0.3">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row>
    <row r="17" spans="4:31" x14ac:dyDescent="0.3">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row>
    <row r="18" spans="4:31" x14ac:dyDescent="0.3">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row>
    <row r="19" spans="4:31" x14ac:dyDescent="0.3">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row>
    <row r="20" spans="4:31" x14ac:dyDescent="0.3">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row>
    <row r="21" spans="4:31" x14ac:dyDescent="0.3">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row>
    <row r="22" spans="4:31" x14ac:dyDescent="0.3">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row>
    <row r="23" spans="4:31" x14ac:dyDescent="0.3">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row>
    <row r="24" spans="4:31" x14ac:dyDescent="0.3">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row>
    <row r="25" spans="4:31" x14ac:dyDescent="0.3">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row>
    <row r="26" spans="4:31" x14ac:dyDescent="0.3">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row>
    <row r="27" spans="4:31" x14ac:dyDescent="0.3">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row>
    <row r="28" spans="4:31" x14ac:dyDescent="0.3">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row>
    <row r="29" spans="4:31" x14ac:dyDescent="0.3">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row>
    <row r="30" spans="4:31" x14ac:dyDescent="0.3">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row>
    <row r="31" spans="4:31" x14ac:dyDescent="0.3">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row>
    <row r="32" spans="4:31" x14ac:dyDescent="0.3">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row>
    <row r="33" spans="4:31" x14ac:dyDescent="0.3">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row>
    <row r="34" spans="4:31" x14ac:dyDescent="0.3">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row>
    <row r="35" spans="4:31" x14ac:dyDescent="0.3">
      <c r="D35" s="5"/>
      <c r="E35" s="5"/>
      <c r="F35" s="5"/>
      <c r="G35" s="5"/>
      <c r="H35" s="5"/>
      <c r="I35" s="5"/>
      <c r="J35" s="5"/>
      <c r="K35" s="5"/>
      <c r="L35" s="5"/>
      <c r="M35" s="5"/>
      <c r="N35" s="5"/>
      <c r="O35" s="1" t="s">
        <v>0</v>
      </c>
      <c r="P35" t="s">
        <v>2236</v>
      </c>
      <c r="Q35" s="5"/>
      <c r="R35" s="5"/>
      <c r="S35" s="5"/>
      <c r="T35" s="5"/>
      <c r="U35" s="5"/>
      <c r="V35" s="5"/>
      <c r="W35" s="5"/>
      <c r="X35" s="5"/>
      <c r="Y35" s="5"/>
      <c r="Z35" s="5"/>
      <c r="AA35" s="5"/>
      <c r="AB35" s="5"/>
      <c r="AC35" s="5"/>
      <c r="AD35" s="5"/>
      <c r="AE35" s="5"/>
    </row>
    <row r="36" spans="4:31" x14ac:dyDescent="0.3">
      <c r="D36" s="5"/>
      <c r="E36" s="5"/>
      <c r="F36" s="5"/>
      <c r="G36" s="5"/>
      <c r="H36" s="5"/>
      <c r="I36" s="5"/>
      <c r="J36" s="5"/>
      <c r="K36" s="5"/>
      <c r="L36" s="5"/>
      <c r="M36" s="5"/>
      <c r="N36" s="5"/>
      <c r="O36" s="2" t="s">
        <v>14</v>
      </c>
      <c r="P36" s="6">
        <v>64381.26</v>
      </c>
      <c r="Q36" s="5"/>
      <c r="R36" s="5"/>
      <c r="S36" s="5"/>
      <c r="T36" s="5"/>
      <c r="U36" s="5"/>
      <c r="V36" s="5"/>
      <c r="W36" s="5"/>
      <c r="X36" s="5"/>
      <c r="Y36" s="5"/>
      <c r="Z36" s="5"/>
      <c r="AA36" s="5"/>
      <c r="AB36" s="5"/>
      <c r="AC36" s="5"/>
      <c r="AD36" s="5"/>
      <c r="AE36" s="5"/>
    </row>
    <row r="37" spans="4:31" x14ac:dyDescent="0.3">
      <c r="D37" s="5"/>
      <c r="E37" s="5"/>
      <c r="F37" s="5"/>
      <c r="G37" s="5"/>
      <c r="H37" s="5"/>
      <c r="I37" s="5"/>
      <c r="J37" s="5"/>
      <c r="K37" s="5"/>
      <c r="L37" s="5"/>
      <c r="M37" s="5"/>
      <c r="N37" s="5"/>
      <c r="O37" s="4" t="s">
        <v>15</v>
      </c>
      <c r="P37" s="6">
        <v>64381.26</v>
      </c>
      <c r="Q37" s="5"/>
      <c r="R37" s="5"/>
      <c r="S37" s="5"/>
      <c r="T37" s="5"/>
      <c r="U37" s="5"/>
      <c r="V37" s="5"/>
      <c r="W37" s="5"/>
      <c r="X37" s="5"/>
      <c r="Y37" s="5"/>
      <c r="Z37" s="5"/>
      <c r="AA37" s="5"/>
      <c r="AB37" s="5"/>
      <c r="AC37" s="5"/>
      <c r="AD37" s="5"/>
      <c r="AE37" s="5"/>
    </row>
    <row r="38" spans="4:31" x14ac:dyDescent="0.3">
      <c r="D38" s="5"/>
      <c r="E38" s="5"/>
      <c r="F38" s="5"/>
      <c r="G38" s="5"/>
      <c r="H38" s="5"/>
      <c r="I38" s="5"/>
      <c r="J38" s="5"/>
      <c r="K38" s="5"/>
      <c r="L38" s="5"/>
      <c r="M38" s="5"/>
      <c r="N38" s="5"/>
      <c r="O38" s="2" t="s">
        <v>21</v>
      </c>
      <c r="P38" s="6">
        <v>1908.06</v>
      </c>
      <c r="Q38" s="5"/>
      <c r="R38" s="5"/>
      <c r="S38" s="5"/>
      <c r="T38" s="5"/>
      <c r="U38" s="5"/>
      <c r="V38" s="5"/>
      <c r="W38" s="5"/>
      <c r="X38" s="5"/>
      <c r="Y38" s="5"/>
      <c r="Z38" s="5"/>
      <c r="AA38" s="5"/>
      <c r="AB38" s="5"/>
      <c r="AC38" s="5"/>
      <c r="AD38" s="5"/>
      <c r="AE38" s="5"/>
    </row>
    <row r="39" spans="4:31" x14ac:dyDescent="0.3">
      <c r="D39" s="5"/>
      <c r="E39" s="5"/>
      <c r="F39" s="5"/>
      <c r="G39" s="5"/>
      <c r="H39" s="5"/>
      <c r="I39" s="5"/>
      <c r="J39" s="5"/>
      <c r="K39" s="5"/>
      <c r="L39" s="5"/>
      <c r="M39" s="5"/>
      <c r="N39" s="5"/>
      <c r="O39" s="4" t="s">
        <v>22</v>
      </c>
      <c r="P39" s="6">
        <v>1908.06</v>
      </c>
      <c r="Q39" s="5"/>
      <c r="R39" s="5"/>
      <c r="S39" s="5"/>
      <c r="T39" s="5"/>
      <c r="U39" s="5"/>
      <c r="V39" s="5"/>
      <c r="W39" s="5"/>
      <c r="X39" s="5"/>
      <c r="Y39" s="5"/>
      <c r="Z39" s="5"/>
      <c r="AA39" s="5"/>
      <c r="AB39" s="5"/>
      <c r="AC39" s="5"/>
      <c r="AD39" s="5"/>
      <c r="AE39" s="5"/>
    </row>
    <row r="40" spans="4:31" x14ac:dyDescent="0.3">
      <c r="D40" s="5"/>
      <c r="E40" s="5"/>
      <c r="F40" s="5"/>
      <c r="G40" s="5"/>
      <c r="H40" s="5"/>
      <c r="I40" s="5"/>
      <c r="J40" s="5"/>
      <c r="K40" s="5"/>
      <c r="L40" s="5"/>
      <c r="M40" s="5"/>
      <c r="N40" s="5"/>
      <c r="O40" s="2" t="s">
        <v>992</v>
      </c>
      <c r="P40" s="6">
        <v>920.43</v>
      </c>
      <c r="Q40" s="5"/>
      <c r="R40" s="5"/>
      <c r="S40" s="5"/>
      <c r="T40" s="5"/>
      <c r="U40" s="5"/>
      <c r="V40" s="5"/>
      <c r="W40" s="5"/>
      <c r="X40" s="5"/>
      <c r="Y40" s="5"/>
      <c r="Z40" s="5"/>
      <c r="AA40" s="5"/>
      <c r="AB40" s="5"/>
      <c r="AC40" s="5"/>
      <c r="AD40" s="5"/>
      <c r="AE40" s="5"/>
    </row>
    <row r="41" spans="4:31" x14ac:dyDescent="0.3">
      <c r="D41" s="5"/>
      <c r="E41" s="5"/>
      <c r="F41" s="5"/>
      <c r="G41" s="5"/>
      <c r="H41" s="5"/>
      <c r="I41" s="5"/>
      <c r="J41" s="5"/>
      <c r="K41" s="5"/>
      <c r="L41" s="5"/>
      <c r="M41" s="5"/>
      <c r="N41" s="5"/>
      <c r="O41" s="4" t="s">
        <v>993</v>
      </c>
      <c r="P41" s="6">
        <v>920.43</v>
      </c>
      <c r="Q41" s="5"/>
      <c r="R41" s="5"/>
      <c r="S41" s="5"/>
      <c r="T41" s="5"/>
      <c r="U41" s="5"/>
      <c r="V41" s="5"/>
      <c r="W41" s="5"/>
      <c r="X41" s="5"/>
      <c r="Y41" s="5"/>
      <c r="Z41" s="5"/>
      <c r="AA41" s="5"/>
      <c r="AB41" s="5"/>
      <c r="AC41" s="5"/>
      <c r="AD41" s="5"/>
      <c r="AE41" s="5"/>
    </row>
    <row r="42" spans="4:31" x14ac:dyDescent="0.3">
      <c r="D42" s="5"/>
      <c r="E42" s="5"/>
      <c r="F42" s="5"/>
      <c r="G42" s="5"/>
      <c r="H42" s="5"/>
      <c r="I42" s="5"/>
      <c r="J42" s="5"/>
      <c r="K42" s="5"/>
      <c r="L42" s="5"/>
      <c r="M42" s="5"/>
      <c r="N42" s="5"/>
      <c r="O42" s="2" t="s">
        <v>842</v>
      </c>
      <c r="P42" s="6">
        <v>918.43</v>
      </c>
      <c r="Q42" s="5"/>
      <c r="R42" s="5"/>
      <c r="S42" s="5"/>
      <c r="T42" s="5"/>
      <c r="U42" s="5"/>
      <c r="V42" s="5"/>
      <c r="W42" s="5"/>
      <c r="X42" s="5"/>
      <c r="Y42" s="5"/>
      <c r="Z42" s="5"/>
      <c r="AA42" s="5"/>
      <c r="AB42" s="5"/>
      <c r="AC42" s="5"/>
      <c r="AD42" s="5"/>
      <c r="AE42" s="5"/>
    </row>
    <row r="43" spans="4:31" x14ac:dyDescent="0.3">
      <c r="D43" s="5"/>
      <c r="E43" s="5"/>
      <c r="F43" s="5"/>
      <c r="G43" s="5"/>
      <c r="H43" s="5"/>
      <c r="I43" s="5"/>
      <c r="J43" s="5"/>
      <c r="K43" s="5"/>
      <c r="L43" s="5"/>
      <c r="M43" s="5"/>
      <c r="N43" s="5"/>
      <c r="O43" s="4" t="s">
        <v>843</v>
      </c>
      <c r="P43" s="6">
        <v>918.43</v>
      </c>
      <c r="Q43" s="5"/>
      <c r="R43" s="5"/>
      <c r="S43" s="5"/>
      <c r="T43" s="5"/>
      <c r="U43" s="5"/>
      <c r="V43" s="5"/>
      <c r="W43" s="5"/>
      <c r="X43" s="5"/>
      <c r="Y43" s="5"/>
      <c r="Z43" s="5"/>
      <c r="AA43" s="5"/>
      <c r="AB43" s="5"/>
      <c r="AC43" s="5"/>
      <c r="AD43" s="5"/>
      <c r="AE43" s="5"/>
    </row>
    <row r="44" spans="4:31" x14ac:dyDescent="0.3">
      <c r="D44" s="5"/>
      <c r="E44" s="5"/>
      <c r="F44" s="5"/>
      <c r="G44" s="5"/>
      <c r="H44" s="5"/>
      <c r="I44" s="5"/>
      <c r="J44" s="5"/>
      <c r="K44" s="5"/>
      <c r="L44" s="5"/>
      <c r="M44" s="5"/>
      <c r="N44" s="5"/>
      <c r="O44" s="2" t="s">
        <v>1747</v>
      </c>
      <c r="P44" s="6">
        <v>728.28</v>
      </c>
      <c r="Q44" s="5"/>
      <c r="R44" s="5"/>
      <c r="S44" s="5"/>
      <c r="T44" s="5"/>
      <c r="U44" s="5"/>
      <c r="V44" s="5"/>
      <c r="W44" s="5"/>
      <c r="X44" s="5"/>
      <c r="Y44" s="5"/>
      <c r="Z44" s="5"/>
      <c r="AA44" s="5"/>
      <c r="AB44" s="5"/>
      <c r="AC44" s="5"/>
      <c r="AD44" s="5"/>
      <c r="AE44" s="5"/>
    </row>
    <row r="45" spans="4:31" x14ac:dyDescent="0.3">
      <c r="D45" s="5"/>
      <c r="E45" s="5"/>
      <c r="F45" s="5"/>
      <c r="G45" s="5"/>
      <c r="H45" s="5"/>
      <c r="I45" s="5"/>
      <c r="J45" s="5"/>
      <c r="K45" s="5"/>
      <c r="L45" s="5"/>
      <c r="M45" s="5"/>
      <c r="N45" s="5"/>
      <c r="O45" s="4" t="s">
        <v>1748</v>
      </c>
      <c r="P45" s="6">
        <v>728.28</v>
      </c>
      <c r="Q45" s="5"/>
      <c r="R45" s="5"/>
      <c r="S45" s="5"/>
      <c r="T45" s="5"/>
      <c r="U45" s="5"/>
      <c r="V45" s="5"/>
      <c r="W45" s="5"/>
      <c r="X45" s="5"/>
      <c r="Y45" s="5"/>
      <c r="Z45" s="5"/>
      <c r="AA45" s="5"/>
      <c r="AB45" s="5"/>
      <c r="AC45" s="5"/>
      <c r="AD45" s="5"/>
      <c r="AE45" s="5"/>
    </row>
    <row r="46" spans="4:31" x14ac:dyDescent="0.3">
      <c r="D46" s="5"/>
      <c r="E46" s="5"/>
      <c r="F46" s="5"/>
      <c r="G46" s="5"/>
      <c r="H46" s="5"/>
      <c r="I46" s="5"/>
      <c r="J46" s="5"/>
      <c r="K46" s="5"/>
      <c r="L46" s="5"/>
      <c r="M46" s="5"/>
      <c r="N46" s="5"/>
      <c r="O46" s="2" t="s">
        <v>641</v>
      </c>
      <c r="P46" s="6">
        <v>698.53</v>
      </c>
      <c r="Q46" s="5"/>
      <c r="R46" s="5"/>
      <c r="S46" s="5"/>
      <c r="T46" s="5"/>
      <c r="U46" s="5"/>
      <c r="V46" s="5"/>
      <c r="W46" s="5"/>
      <c r="X46" s="5"/>
      <c r="Y46" s="5"/>
      <c r="Z46" s="5"/>
      <c r="AA46" s="5"/>
      <c r="AB46" s="5"/>
      <c r="AC46" s="5"/>
      <c r="AD46" s="5"/>
      <c r="AE46" s="5"/>
    </row>
    <row r="47" spans="4:31" x14ac:dyDescent="0.3">
      <c r="D47" s="5"/>
      <c r="E47" s="5"/>
      <c r="F47" s="5"/>
      <c r="G47" s="5"/>
      <c r="H47" s="5"/>
      <c r="I47" s="5"/>
      <c r="J47" s="5"/>
      <c r="K47" s="5"/>
      <c r="L47" s="5"/>
      <c r="M47" s="5"/>
      <c r="N47" s="5"/>
      <c r="O47" s="4" t="s">
        <v>642</v>
      </c>
      <c r="P47" s="6">
        <v>698.53</v>
      </c>
      <c r="Q47" s="5"/>
      <c r="R47" s="5"/>
      <c r="S47" s="5"/>
      <c r="T47" s="5"/>
      <c r="U47" s="5"/>
      <c r="V47" s="5"/>
      <c r="W47" s="5"/>
      <c r="X47" s="5"/>
      <c r="Y47" s="5"/>
      <c r="Z47" s="5"/>
      <c r="AA47" s="5"/>
      <c r="AB47" s="5"/>
      <c r="AC47" s="5"/>
      <c r="AD47" s="5"/>
      <c r="AE47" s="5"/>
    </row>
    <row r="48" spans="4:31" x14ac:dyDescent="0.3">
      <c r="D48" s="5"/>
      <c r="E48" s="5"/>
      <c r="F48" s="5"/>
      <c r="G48" s="5"/>
      <c r="H48" s="5"/>
      <c r="I48" s="5"/>
      <c r="J48" s="5"/>
      <c r="K48" s="5"/>
      <c r="L48" s="5"/>
      <c r="M48" s="5"/>
      <c r="N48" s="5"/>
      <c r="O48" s="2" t="s">
        <v>35</v>
      </c>
      <c r="P48" s="6">
        <v>591.19000000000005</v>
      </c>
      <c r="Q48" s="5"/>
      <c r="R48" s="5"/>
      <c r="S48" s="5"/>
      <c r="T48" s="5"/>
      <c r="U48" s="5"/>
      <c r="V48" s="5"/>
      <c r="W48" s="5"/>
      <c r="X48" s="5"/>
      <c r="Y48" s="5"/>
      <c r="Z48" s="5"/>
      <c r="AA48" s="5"/>
      <c r="AB48" s="5"/>
      <c r="AC48" s="5"/>
      <c r="AD48" s="5"/>
      <c r="AE48" s="5"/>
    </row>
    <row r="49" spans="4:31" x14ac:dyDescent="0.3">
      <c r="D49" s="5"/>
      <c r="E49" s="5"/>
      <c r="F49" s="5"/>
      <c r="G49" s="5"/>
      <c r="H49" s="5"/>
      <c r="I49" s="5"/>
      <c r="J49" s="5"/>
      <c r="K49" s="5"/>
      <c r="L49" s="5"/>
      <c r="M49" s="5"/>
      <c r="N49" s="5"/>
      <c r="O49" s="4" t="s">
        <v>35</v>
      </c>
      <c r="P49" s="6">
        <v>591.19000000000005</v>
      </c>
      <c r="Q49" s="5"/>
      <c r="R49" s="5"/>
      <c r="S49" s="5"/>
      <c r="T49" s="5"/>
      <c r="U49" s="5"/>
      <c r="V49" s="5"/>
      <c r="W49" s="5"/>
      <c r="X49" s="5"/>
      <c r="Y49" s="5"/>
      <c r="Z49" s="5"/>
      <c r="AA49" s="5"/>
      <c r="AB49" s="5"/>
      <c r="AC49" s="5"/>
      <c r="AD49" s="5"/>
      <c r="AE49" s="5"/>
    </row>
    <row r="50" spans="4:31" x14ac:dyDescent="0.3">
      <c r="D50" s="5"/>
      <c r="E50" s="5"/>
      <c r="F50" s="5"/>
      <c r="G50" s="5"/>
      <c r="H50" s="5"/>
      <c r="I50" s="5"/>
      <c r="J50" s="5"/>
      <c r="K50" s="5"/>
      <c r="L50" s="5"/>
      <c r="M50" s="5"/>
      <c r="N50" s="5"/>
      <c r="O50" s="2" t="s">
        <v>1178</v>
      </c>
      <c r="P50" s="6">
        <v>581.11</v>
      </c>
      <c r="Q50" s="5"/>
      <c r="R50" s="5"/>
      <c r="S50" s="5"/>
      <c r="T50" s="5"/>
      <c r="U50" s="5"/>
      <c r="V50" s="5"/>
      <c r="W50" s="5"/>
      <c r="X50" s="5"/>
      <c r="Y50" s="5"/>
      <c r="Z50" s="5"/>
      <c r="AA50" s="5"/>
      <c r="AB50" s="5"/>
      <c r="AC50" s="5"/>
      <c r="AD50" s="5"/>
      <c r="AE50" s="5"/>
    </row>
    <row r="51" spans="4:31" x14ac:dyDescent="0.3">
      <c r="D51" s="5"/>
      <c r="E51" s="5"/>
      <c r="F51" s="5"/>
      <c r="G51" s="5"/>
      <c r="H51" s="5"/>
      <c r="I51" s="5"/>
      <c r="J51" s="5"/>
      <c r="K51" s="5"/>
      <c r="L51" s="5"/>
      <c r="M51" s="5"/>
      <c r="N51" s="5"/>
      <c r="O51" s="4" t="s">
        <v>1179</v>
      </c>
      <c r="P51" s="6">
        <v>581.11</v>
      </c>
      <c r="Q51" s="5"/>
      <c r="R51" s="5"/>
      <c r="S51" s="5"/>
      <c r="T51" s="5"/>
      <c r="U51" s="5"/>
      <c r="V51" s="5"/>
      <c r="W51" s="5"/>
      <c r="X51" s="5"/>
      <c r="Y51" s="5"/>
      <c r="Z51" s="5"/>
      <c r="AA51" s="5"/>
      <c r="AB51" s="5"/>
      <c r="AC51" s="5"/>
      <c r="AD51" s="5"/>
      <c r="AE51" s="5"/>
    </row>
    <row r="52" spans="4:31" x14ac:dyDescent="0.3">
      <c r="D52" s="5"/>
      <c r="E52" s="5"/>
      <c r="F52" s="5"/>
      <c r="G52" s="5"/>
      <c r="H52" s="5"/>
      <c r="I52" s="5"/>
      <c r="J52" s="5"/>
      <c r="K52" s="5"/>
      <c r="L52" s="5"/>
      <c r="M52" s="5"/>
      <c r="N52" s="5"/>
      <c r="O52" s="2" t="s">
        <v>1494</v>
      </c>
      <c r="P52" s="6">
        <v>568.13</v>
      </c>
      <c r="Q52" s="5"/>
      <c r="R52" s="5"/>
      <c r="S52" s="5"/>
      <c r="T52" s="5"/>
      <c r="U52" s="5"/>
      <c r="V52" s="5"/>
      <c r="W52" s="5"/>
      <c r="X52" s="5"/>
      <c r="Y52" s="5"/>
      <c r="Z52" s="5"/>
      <c r="AA52" s="5"/>
      <c r="AB52" s="5"/>
      <c r="AC52" s="5"/>
      <c r="AD52" s="5"/>
      <c r="AE52" s="5"/>
    </row>
    <row r="53" spans="4:31" x14ac:dyDescent="0.3">
      <c r="D53" s="5"/>
      <c r="E53" s="5"/>
      <c r="F53" s="5"/>
      <c r="G53" s="5"/>
      <c r="H53" s="5"/>
      <c r="I53" s="5"/>
      <c r="J53" s="5"/>
      <c r="K53" s="5"/>
      <c r="L53" s="5"/>
      <c r="M53" s="5"/>
      <c r="N53" s="5"/>
      <c r="O53" s="4" t="s">
        <v>1495</v>
      </c>
      <c r="P53" s="6">
        <v>568.13</v>
      </c>
      <c r="Q53" s="5"/>
      <c r="R53" s="5"/>
      <c r="S53" s="5"/>
      <c r="T53" s="5"/>
      <c r="U53" s="5"/>
      <c r="V53" s="5"/>
      <c r="W53" s="5"/>
      <c r="X53" s="5"/>
      <c r="Y53" s="5"/>
      <c r="Z53" s="5"/>
      <c r="AA53" s="5"/>
      <c r="AB53" s="5"/>
      <c r="AC53" s="5"/>
      <c r="AD53" s="5"/>
      <c r="AE53" s="5"/>
    </row>
    <row r="54" spans="4:31" x14ac:dyDescent="0.3">
      <c r="D54" s="5"/>
      <c r="E54" s="5"/>
      <c r="F54" s="5"/>
      <c r="G54" s="5"/>
      <c r="H54" s="5"/>
      <c r="I54" s="5"/>
      <c r="J54" s="5"/>
      <c r="K54" s="5"/>
      <c r="L54" s="5"/>
      <c r="M54" s="5"/>
      <c r="N54" s="5"/>
      <c r="O54" s="2" t="s">
        <v>1359</v>
      </c>
      <c r="P54" s="6">
        <v>549.42999999999995</v>
      </c>
      <c r="Q54" s="5"/>
      <c r="R54" s="5"/>
      <c r="S54" s="5"/>
      <c r="T54" s="5"/>
      <c r="U54" s="5"/>
      <c r="V54" s="5"/>
      <c r="W54" s="5"/>
      <c r="X54" s="5"/>
      <c r="Y54" s="5"/>
      <c r="Z54" s="5"/>
      <c r="AA54" s="5"/>
      <c r="AB54" s="5"/>
      <c r="AC54" s="5"/>
      <c r="AD54" s="5"/>
      <c r="AE54" s="5"/>
    </row>
    <row r="55" spans="4:31" x14ac:dyDescent="0.3">
      <c r="D55" s="5"/>
      <c r="E55" s="5"/>
      <c r="F55" s="5"/>
      <c r="G55" s="5"/>
      <c r="H55" s="5"/>
      <c r="I55" s="5"/>
      <c r="J55" s="5"/>
      <c r="K55" s="5"/>
      <c r="L55" s="5"/>
      <c r="M55" s="5"/>
      <c r="N55" s="5"/>
      <c r="O55" s="4" t="s">
        <v>1360</v>
      </c>
      <c r="P55" s="6">
        <v>549.42999999999995</v>
      </c>
      <c r="Q55" s="5"/>
      <c r="R55" s="5"/>
      <c r="S55" s="5"/>
      <c r="T55" s="5"/>
      <c r="U55" s="5"/>
      <c r="V55" s="5"/>
      <c r="W55" s="5"/>
      <c r="X55" s="5"/>
      <c r="Y55" s="5"/>
      <c r="Z55" s="5"/>
      <c r="AA55" s="5"/>
      <c r="AB55" s="5"/>
      <c r="AC55" s="5"/>
      <c r="AD55" s="5"/>
      <c r="AE55" s="5"/>
    </row>
    <row r="56" spans="4:31" x14ac:dyDescent="0.3">
      <c r="D56" s="5"/>
      <c r="E56" s="5"/>
      <c r="F56" s="5"/>
      <c r="G56" s="5"/>
      <c r="H56" s="5"/>
      <c r="I56" s="5"/>
      <c r="J56" s="5"/>
      <c r="K56" s="5"/>
      <c r="L56" s="5"/>
      <c r="M56" s="5"/>
      <c r="N56" s="5"/>
      <c r="O56" s="2" t="s">
        <v>2224</v>
      </c>
      <c r="P56" s="6">
        <v>71844.850000000006</v>
      </c>
      <c r="Q56" s="5"/>
      <c r="R56" s="5"/>
      <c r="S56" s="5"/>
      <c r="T56" s="5"/>
      <c r="U56" s="5"/>
      <c r="V56" s="5"/>
      <c r="W56" s="5"/>
      <c r="X56" s="5"/>
      <c r="Y56" s="5"/>
      <c r="Z56" s="5"/>
      <c r="AA56" s="5"/>
      <c r="AB56" s="5"/>
      <c r="AC56" s="5"/>
      <c r="AD56" s="5"/>
      <c r="AE56" s="5"/>
    </row>
    <row r="57" spans="4:31" x14ac:dyDescent="0.3">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row>
    <row r="58" spans="4:31" x14ac:dyDescent="0.3">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row>
    <row r="59" spans="4:31" x14ac:dyDescent="0.3">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row>
    <row r="60" spans="4:31" x14ac:dyDescent="0.3">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row>
    <row r="61" spans="4:31" x14ac:dyDescent="0.3">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row>
    <row r="62" spans="4:31" x14ac:dyDescent="0.3">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row>
    <row r="63" spans="4:31" x14ac:dyDescent="0.3">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row>
    <row r="64" spans="4:31" x14ac:dyDescent="0.3">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row>
    <row r="65" spans="4:31" x14ac:dyDescent="0.3">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row>
    <row r="66" spans="4:31" x14ac:dyDescent="0.3">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row>
    <row r="67" spans="4:31" x14ac:dyDescent="0.3">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row>
    <row r="68" spans="4:31" x14ac:dyDescent="0.3">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row>
    <row r="69" spans="4:31" x14ac:dyDescent="0.3">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row>
    <row r="70" spans="4:31" x14ac:dyDescent="0.3">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row>
    <row r="71" spans="4:31" x14ac:dyDescent="0.3">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row>
    <row r="72" spans="4:31" x14ac:dyDescent="0.3">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row>
    <row r="73" spans="4:31" x14ac:dyDescent="0.3">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row>
    <row r="74" spans="4:31" x14ac:dyDescent="0.3">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row>
    <row r="75" spans="4:31" x14ac:dyDescent="0.3">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row>
    <row r="76" spans="4:31" x14ac:dyDescent="0.3">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row>
    <row r="77" spans="4:31" x14ac:dyDescent="0.3">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row>
    <row r="78" spans="4:31" x14ac:dyDescent="0.3">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row>
    <row r="79" spans="4:31" x14ac:dyDescent="0.3">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row>
    <row r="80" spans="4:31" x14ac:dyDescent="0.3">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row>
    <row r="81" spans="4:31" x14ac:dyDescent="0.3">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row>
    <row r="82" spans="4:31" x14ac:dyDescent="0.3">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row>
    <row r="83" spans="4:31" x14ac:dyDescent="0.3">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84" spans="4:31" x14ac:dyDescent="0.3">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row>
    <row r="85" spans="4:31" x14ac:dyDescent="0.3">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row>
    <row r="86" spans="4:31" x14ac:dyDescent="0.3">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row>
    <row r="87" spans="4:31" x14ac:dyDescent="0.3">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row>
    <row r="88" spans="4:31" x14ac:dyDescent="0.3">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row>
    <row r="89" spans="4:31" x14ac:dyDescent="0.3">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row>
    <row r="90" spans="4:31" x14ac:dyDescent="0.3">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row>
    <row r="91" spans="4:31" x14ac:dyDescent="0.3">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row>
    <row r="92" spans="4:31" x14ac:dyDescent="0.3">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row>
    <row r="93" spans="4:31" x14ac:dyDescent="0.3">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row>
    <row r="94" spans="4:31" x14ac:dyDescent="0.3">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row>
    <row r="95" spans="4:31" x14ac:dyDescent="0.3">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row>
    <row r="96" spans="4:31" x14ac:dyDescent="0.3">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row>
    <row r="97" spans="4:31" x14ac:dyDescent="0.3">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row>
    <row r="98" spans="4:31" x14ac:dyDescent="0.3">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row>
    <row r="99" spans="4:31" x14ac:dyDescent="0.3">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row>
    <row r="100" spans="4:31" x14ac:dyDescent="0.3">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row>
    <row r="101" spans="4:31" x14ac:dyDescent="0.3">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row>
    <row r="102" spans="4:31" x14ac:dyDescent="0.3">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row>
    <row r="103" spans="4:31" x14ac:dyDescent="0.3">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row>
    <row r="104" spans="4:31" x14ac:dyDescent="0.3">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row>
    <row r="105" spans="4:31" x14ac:dyDescent="0.3">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row>
    <row r="106" spans="4:31" x14ac:dyDescent="0.3">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row>
    <row r="107" spans="4:31" x14ac:dyDescent="0.3">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row>
    <row r="108" spans="4:31" x14ac:dyDescent="0.3">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row>
    <row r="109" spans="4:31" x14ac:dyDescent="0.3">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spans="4:31" x14ac:dyDescent="0.3">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spans="4:31" x14ac:dyDescent="0.3">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spans="4:31" x14ac:dyDescent="0.3">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row>
    <row r="113" spans="4:31" x14ac:dyDescent="0.3">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row>
    <row r="114" spans="4:31" x14ac:dyDescent="0.3">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row>
    <row r="115" spans="4:31" x14ac:dyDescent="0.3">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row>
  </sheetData>
  <conditionalFormatting sqref="N45:N64">
    <cfRule type="colorScale" priority="8">
      <colorScale>
        <cfvo type="min"/>
        <cfvo type="percentile" val="50"/>
        <cfvo type="max"/>
        <color rgb="FFF8696B"/>
        <color rgb="FFFFEB84"/>
        <color rgb="FF63BE7B"/>
      </colorScale>
    </cfRule>
  </conditionalFormatting>
  <conditionalFormatting sqref="N57:O64 N45:N56">
    <cfRule type="colorScale" priority="7">
      <colorScale>
        <cfvo type="min"/>
        <cfvo type="percentile" val="50"/>
        <cfvo type="max"/>
        <color rgb="FF63BE7B"/>
        <color rgb="FFFFEB84"/>
        <color rgb="FFF8696B"/>
      </colorScale>
    </cfRule>
  </conditionalFormatting>
  <conditionalFormatting sqref="O32:O34">
    <cfRule type="colorScale" priority="6">
      <colorScale>
        <cfvo type="min"/>
        <cfvo type="percentile" val="50"/>
        <cfvo type="max"/>
        <color rgb="FFF8696B"/>
        <color rgb="FFFFEB84"/>
        <color rgb="FF63BE7B"/>
      </colorScale>
    </cfRule>
  </conditionalFormatting>
  <conditionalFormatting sqref="O32:P34">
    <cfRule type="colorScale" priority="5">
      <colorScale>
        <cfvo type="min"/>
        <cfvo type="percentile" val="50"/>
        <cfvo type="max"/>
        <color rgb="FF63BE7B"/>
        <color rgb="FFFFEB84"/>
        <color rgb="FFF8696B"/>
      </colorScale>
    </cfRule>
  </conditionalFormatting>
  <conditionalFormatting sqref="O36:O55">
    <cfRule type="colorScale" priority="4">
      <colorScale>
        <cfvo type="min"/>
        <cfvo type="percentile" val="50"/>
        <cfvo type="max"/>
        <color rgb="FFF8696B"/>
        <color rgb="FFFFEB84"/>
        <color rgb="FF63BE7B"/>
      </colorScale>
    </cfRule>
  </conditionalFormatting>
  <conditionalFormatting sqref="O36:O55">
    <cfRule type="colorScale" priority="3">
      <colorScale>
        <cfvo type="min"/>
        <cfvo type="percentile" val="50"/>
        <cfvo type="max"/>
        <color rgb="FF63BE7B"/>
        <color rgb="FFFFEB84"/>
        <color rgb="FFF8696B"/>
      </colorScale>
    </cfRule>
  </conditionalFormatting>
  <conditionalFormatting pivot="1" sqref="P36">
    <cfRule type="colorScale" priority="2">
      <colorScale>
        <cfvo type="min"/>
        <cfvo type="percentile" val="50"/>
        <cfvo type="max"/>
        <color rgb="FF63BE7B"/>
        <color rgb="FFFFEB84"/>
        <color rgb="FFF8696B"/>
      </colorScale>
    </cfRule>
  </conditionalFormatting>
  <conditionalFormatting sqref="O35:P56">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2E4E3F-57EB-43AA-80CE-D23DA589E3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CHARMI PATEL</cp:lastModifiedBy>
  <dcterms:created xsi:type="dcterms:W3CDTF">2026-07-31T06:37:48Z</dcterms:created>
  <dcterms:modified xsi:type="dcterms:W3CDTF">2026-08-07T13:00:48Z</dcterms:modified>
</cp:coreProperties>
</file>